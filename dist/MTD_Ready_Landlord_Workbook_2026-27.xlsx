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tings" sheetId="2" state="visible" r:id="rId2"/>
    <sheet name="Income" sheetId="3" state="visible" r:id="rId3"/>
    <sheet name="Expenses" sheetId="4" state="visible" r:id="rId4"/>
    <sheet name="Residential finance costs" sheetId="5" state="visible" r:id="rId5"/>
    <sheet name="Mileage" sheetId="6" state="visible" r:id="rId6"/>
    <sheet name="Use of home" sheetId="7" state="hidden" r:id="rId7"/>
    <sheet name="Quarterly summary" sheetId="8" state="visible" r:id="rId8"/>
    <sheet name="Deadlines" sheetId="9" state="visible" r:id="rId9"/>
    <sheet name="Lists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£#,##0.00"/>
    <numFmt numFmtId="166" formatCode="yyyy-mm-dd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C00000"/>
    </font>
    <font>
      <b val="1"/>
    </font>
    <font>
      <i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0" fillId="2" borderId="0" pivotButton="0" quotePrefix="0" xfId="0"/>
    <xf numFmtId="0" fontId="5" fillId="3" borderId="0" pivotButton="0" quotePrefix="0" xfId="0"/>
    <xf numFmtId="164" fontId="0" fillId="0" borderId="0" pivotButton="0" quotePrefix="0" xfId="0"/>
    <xf numFmtId="0" fontId="5" fillId="3" borderId="0" applyAlignment="1" pivotButton="0" quotePrefix="0" xfId="0">
      <alignment vertical="center" wrapText="1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MTD Ready for Landlords – UK property income workbook, tax year 2026-27</t>
        </is>
      </c>
    </row>
    <row r="2">
      <c r="A2" s="2" t="inlineStr">
        <is>
          <t>This workbook helps landlords keep digital records. It is not HMRC-recognised software and cannot submit to HMRC by itself: use HMRC-recognised bridging software to send quarterly updates from a spreadsheet. It is not tax advice. Check gov.uk or an accountant for your circumstances.</t>
        </is>
      </c>
    </row>
    <row r="3">
      <c r="A3" s="3" t="inlineStr"/>
    </row>
    <row r="4">
      <c r="A4" s="4" t="inlineStr">
        <is>
          <t>How to use</t>
        </is>
      </c>
    </row>
    <row r="5">
      <c r="A5" s="3" t="inlineStr">
        <is>
          <t>1. Settings: choose Standard (6 Apr) or Calendar (1 Apr) quarters.</t>
        </is>
      </c>
    </row>
    <row r="6">
      <c r="A6" s="3" t="inlineStr">
        <is>
          <t>2. Income: one row per rent receipt or other property income. Jointly owned? Enter only your share.</t>
        </is>
      </c>
    </row>
    <row r="7">
      <c r="A7" s="3" t="inlineStr">
        <is>
          <t>3. Expenses: one row per cost; put any personal element in 'Private use £'.</t>
        </is>
      </c>
    </row>
    <row r="8">
      <c r="A8" s="3" t="inlineStr">
        <is>
          <t>4. Mortgage interest: record it on the 'Residential finance costs' sheet, not as an expense (see why there).</t>
        </is>
      </c>
    </row>
    <row r="9">
      <c r="A9" s="3" t="inlineStr">
        <is>
          <t>5. Quarterly summary shows the cumulative totals your bridging software asks for.</t>
        </is>
      </c>
    </row>
    <row r="10">
      <c r="A10" s="3" t="inlineStr"/>
    </row>
    <row r="11">
      <c r="A11" s="4" t="inlineStr">
        <is>
          <t>Who must use MTD for Income Tax</t>
        </is>
      </c>
    </row>
    <row r="12">
      <c r="A12" s="3" t="inlineStr">
        <is>
          <t>Gross self-employment + gross property income over £50,000 (2024-25 return) → from 6 April 2026; over £30,000 → 6 April 2027; over £20,000 → 6 April 2028.</t>
        </is>
      </c>
    </row>
    <row r="13">
      <c r="A13" s="3" t="inlineStr">
        <is>
          <t>Property allowance: if your gross property income is £1,000 or less you may not need to report it; above that you can deduct £1,000 instead of actual expenses.</t>
        </is>
      </c>
    </row>
    <row r="14">
      <c r="A14" s="3" t="inlineStr">
        <is>
          <t>Furnished holiday lettings rules ended on 6 April 2025; holiday lets are now treated like other property income.</t>
        </is>
      </c>
    </row>
    <row r="15">
      <c r="A15" s="3" t="inlineStr"/>
    </row>
    <row r="16">
      <c r="A16" s="5" t="inlineStr">
        <is>
          <t>Facts checked against gov.uk on 25 September 2026. Buyers get free updates for 12 months.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6" t="inlineStr">
        <is>
          <t>Settings</t>
        </is>
      </c>
    </row>
    <row r="3">
      <c r="A3" t="inlineStr">
        <is>
          <t>Business name</t>
        </is>
      </c>
      <c r="B3" s="7" t="inlineStr"/>
    </row>
    <row r="4">
      <c r="A4" t="inlineStr">
        <is>
          <t>Quarter basis (Standard / Calendar)</t>
        </is>
      </c>
      <c r="B4" s="7" t="inlineStr">
        <is>
          <t>Standard</t>
        </is>
      </c>
    </row>
    <row r="6">
      <c r="A6" s="8" t="inlineStr">
        <is>
          <t>Quarter</t>
        </is>
      </c>
      <c r="B6" s="8" t="inlineStr">
        <is>
          <t>Start</t>
        </is>
      </c>
      <c r="C6" s="8" t="inlineStr">
        <is>
          <t>End</t>
        </is>
      </c>
    </row>
    <row r="7">
      <c r="A7" t="inlineStr">
        <is>
          <t>Q1</t>
        </is>
      </c>
      <c r="B7" s="9">
        <f>IF($B$4="Calendar",DATE(2026,4,1),DATE(2026,4,6))</f>
        <v/>
      </c>
      <c r="C7" s="9">
        <f>IF($B$4="Calendar",DATE(2026,6,30),DATE(2026,7,5))</f>
        <v/>
      </c>
    </row>
    <row r="8">
      <c r="A8" t="inlineStr">
        <is>
          <t>Q2</t>
        </is>
      </c>
      <c r="B8" s="9">
        <f>IF($B$4="Calendar",DATE(2026,7,1),DATE(2026,7,6))</f>
        <v/>
      </c>
      <c r="C8" s="9">
        <f>IF($B$4="Calendar",DATE(2026,9,30),DATE(2026,10,5))</f>
        <v/>
      </c>
    </row>
    <row r="9">
      <c r="A9" t="inlineStr">
        <is>
          <t>Q3</t>
        </is>
      </c>
      <c r="B9" s="9">
        <f>IF($B$4="Calendar",DATE(2026,10,1),DATE(2026,10,6))</f>
        <v/>
      </c>
      <c r="C9" s="9">
        <f>IF($B$4="Calendar",DATE(2026,12,31),DATE(2027,1,5))</f>
        <v/>
      </c>
    </row>
    <row r="10">
      <c r="A10" t="inlineStr">
        <is>
          <t>Q4</t>
        </is>
      </c>
      <c r="B10" s="9">
        <f>IF($B$4="Calendar",DATE(2027,1,1),DATE(2027,1,6))</f>
        <v/>
      </c>
      <c r="C10" s="9">
        <f>IF($B$4="Calendar",DATE(2027,3,31),DATE(2027,4,5))</f>
        <v/>
      </c>
    </row>
  </sheetData>
  <dataValidations count="1">
    <dataValidation sqref="B4" showDropDown="0" showInputMessage="0" showErrorMessage="0" allowBlank="0" type="list">
      <formula1>"Standard,Calendar"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4" customWidth="1" min="3" max="3"/>
    <col width="14" customWidth="1" min="4" max="4"/>
    <col width="24" customWidth="1" min="5" max="5"/>
  </cols>
  <sheetData>
    <row r="1">
      <c r="A1" s="10" t="inlineStr">
        <is>
          <t>Date</t>
        </is>
      </c>
      <c r="B1" s="10" t="inlineStr">
        <is>
          <t>Description</t>
        </is>
      </c>
      <c r="C1" s="10" t="inlineStr">
        <is>
          <t>Category</t>
        </is>
      </c>
      <c r="D1" s="10" t="inlineStr">
        <is>
          <t>Amount £</t>
        </is>
      </c>
      <c r="E1" s="10" t="inlineStr">
        <is>
          <t>Property / tenant</t>
        </is>
      </c>
    </row>
    <row r="2">
      <c r="A2" s="9" t="n"/>
      <c r="D2" s="11" t="n"/>
    </row>
    <row r="3">
      <c r="A3" s="9" t="n"/>
      <c r="D3" s="11" t="n"/>
    </row>
    <row r="4">
      <c r="A4" s="9" t="n"/>
      <c r="D4" s="11" t="n"/>
    </row>
    <row r="5">
      <c r="A5" s="9" t="n"/>
      <c r="D5" s="11" t="n"/>
    </row>
    <row r="6">
      <c r="A6" s="9" t="n"/>
      <c r="D6" s="11" t="n"/>
    </row>
    <row r="7">
      <c r="A7" s="9" t="n"/>
      <c r="D7" s="11" t="n"/>
    </row>
    <row r="8">
      <c r="A8" s="9" t="n"/>
      <c r="D8" s="11" t="n"/>
    </row>
    <row r="9">
      <c r="A9" s="9" t="n"/>
      <c r="D9" s="11" t="n"/>
    </row>
    <row r="10">
      <c r="A10" s="9" t="n"/>
      <c r="D10" s="11" t="n"/>
    </row>
    <row r="11">
      <c r="A11" s="9" t="n"/>
      <c r="D11" s="11" t="n"/>
    </row>
    <row r="12">
      <c r="A12" s="9" t="n"/>
      <c r="D12" s="11" t="n"/>
    </row>
    <row r="13">
      <c r="A13" s="9" t="n"/>
      <c r="D13" s="11" t="n"/>
    </row>
    <row r="14">
      <c r="A14" s="9" t="n"/>
      <c r="D14" s="11" t="n"/>
    </row>
    <row r="15">
      <c r="A15" s="9" t="n"/>
      <c r="D15" s="11" t="n"/>
    </row>
    <row r="16">
      <c r="A16" s="9" t="n"/>
      <c r="D16" s="11" t="n"/>
    </row>
    <row r="17">
      <c r="A17" s="9" t="n"/>
      <c r="D17" s="11" t="n"/>
    </row>
    <row r="18">
      <c r="A18" s="9" t="n"/>
      <c r="D18" s="11" t="n"/>
    </row>
    <row r="19">
      <c r="A19" s="9" t="n"/>
      <c r="D19" s="11" t="n"/>
    </row>
    <row r="20">
      <c r="A20" s="9" t="n"/>
      <c r="D20" s="11" t="n"/>
    </row>
    <row r="21">
      <c r="A21" s="9" t="n"/>
      <c r="D21" s="11" t="n"/>
    </row>
    <row r="22">
      <c r="A22" s="9" t="n"/>
      <c r="D22" s="11" t="n"/>
    </row>
    <row r="23">
      <c r="A23" s="9" t="n"/>
      <c r="D23" s="11" t="n"/>
    </row>
    <row r="24">
      <c r="A24" s="9" t="n"/>
      <c r="D24" s="11" t="n"/>
    </row>
    <row r="25">
      <c r="A25" s="9" t="n"/>
      <c r="D25" s="11" t="n"/>
    </row>
    <row r="26">
      <c r="A26" s="9" t="n"/>
      <c r="D26" s="11" t="n"/>
    </row>
    <row r="27">
      <c r="A27" s="9" t="n"/>
      <c r="D27" s="11" t="n"/>
    </row>
    <row r="28">
      <c r="A28" s="9" t="n"/>
      <c r="D28" s="11" t="n"/>
    </row>
    <row r="29">
      <c r="A29" s="9" t="n"/>
      <c r="D29" s="11" t="n"/>
    </row>
    <row r="30">
      <c r="A30" s="9" t="n"/>
      <c r="D30" s="11" t="n"/>
    </row>
    <row r="31">
      <c r="A31" s="9" t="n"/>
      <c r="D31" s="11" t="n"/>
    </row>
    <row r="32">
      <c r="A32" s="9" t="n"/>
      <c r="D32" s="11" t="n"/>
    </row>
    <row r="33">
      <c r="A33" s="9" t="n"/>
      <c r="D33" s="11" t="n"/>
    </row>
    <row r="34">
      <c r="A34" s="9" t="n"/>
      <c r="D34" s="11" t="n"/>
    </row>
    <row r="35">
      <c r="A35" s="9" t="n"/>
      <c r="D35" s="11" t="n"/>
    </row>
    <row r="36">
      <c r="A36" s="9" t="n"/>
      <c r="D36" s="11" t="n"/>
    </row>
    <row r="37">
      <c r="A37" s="9" t="n"/>
      <c r="D37" s="11" t="n"/>
    </row>
    <row r="38">
      <c r="A38" s="9" t="n"/>
      <c r="D38" s="11" t="n"/>
    </row>
    <row r="39">
      <c r="A39" s="9" t="n"/>
      <c r="D39" s="11" t="n"/>
    </row>
    <row r="40">
      <c r="A40" s="9" t="n"/>
      <c r="D40" s="11" t="n"/>
    </row>
    <row r="41">
      <c r="A41" s="9" t="n"/>
      <c r="D41" s="11" t="n"/>
    </row>
    <row r="42">
      <c r="A42" s="9" t="n"/>
      <c r="D42" s="11" t="n"/>
    </row>
    <row r="43">
      <c r="A43" s="9" t="n"/>
      <c r="D43" s="11" t="n"/>
    </row>
    <row r="44">
      <c r="A44" s="9" t="n"/>
      <c r="D44" s="11" t="n"/>
    </row>
    <row r="45">
      <c r="A45" s="9" t="n"/>
      <c r="D45" s="11" t="n"/>
    </row>
    <row r="46">
      <c r="A46" s="9" t="n"/>
      <c r="D46" s="11" t="n"/>
    </row>
    <row r="47">
      <c r="A47" s="9" t="n"/>
      <c r="D47" s="11" t="n"/>
    </row>
    <row r="48">
      <c r="A48" s="9" t="n"/>
      <c r="D48" s="11" t="n"/>
    </row>
    <row r="49">
      <c r="A49" s="9" t="n"/>
      <c r="D49" s="11" t="n"/>
    </row>
    <row r="50">
      <c r="A50" s="9" t="n"/>
      <c r="D50" s="11" t="n"/>
    </row>
    <row r="51">
      <c r="A51" s="9" t="n"/>
      <c r="D51" s="11" t="n"/>
    </row>
    <row r="52">
      <c r="A52" s="9" t="n"/>
      <c r="D52" s="11" t="n"/>
    </row>
    <row r="53">
      <c r="A53" s="9" t="n"/>
      <c r="D53" s="11" t="n"/>
    </row>
    <row r="54">
      <c r="A54" s="9" t="n"/>
      <c r="D54" s="11" t="n"/>
    </row>
    <row r="55">
      <c r="A55" s="9" t="n"/>
      <c r="D55" s="11" t="n"/>
    </row>
    <row r="56">
      <c r="A56" s="9" t="n"/>
      <c r="D56" s="11" t="n"/>
    </row>
    <row r="57">
      <c r="A57" s="9" t="n"/>
      <c r="D57" s="11" t="n"/>
    </row>
    <row r="58">
      <c r="A58" s="9" t="n"/>
      <c r="D58" s="11" t="n"/>
    </row>
    <row r="59">
      <c r="A59" s="9" t="n"/>
      <c r="D59" s="11" t="n"/>
    </row>
    <row r="60">
      <c r="A60" s="9" t="n"/>
      <c r="D60" s="11" t="n"/>
    </row>
    <row r="61">
      <c r="A61" s="9" t="n"/>
      <c r="D61" s="11" t="n"/>
    </row>
    <row r="62">
      <c r="A62" s="9" t="n"/>
      <c r="D62" s="11" t="n"/>
    </row>
    <row r="63">
      <c r="A63" s="9" t="n"/>
      <c r="D63" s="11" t="n"/>
    </row>
    <row r="64">
      <c r="A64" s="9" t="n"/>
      <c r="D64" s="11" t="n"/>
    </row>
    <row r="65">
      <c r="A65" s="9" t="n"/>
      <c r="D65" s="11" t="n"/>
    </row>
    <row r="66">
      <c r="A66" s="9" t="n"/>
      <c r="D66" s="11" t="n"/>
    </row>
    <row r="67">
      <c r="A67" s="9" t="n"/>
      <c r="D67" s="11" t="n"/>
    </row>
    <row r="68">
      <c r="A68" s="9" t="n"/>
      <c r="D68" s="11" t="n"/>
    </row>
    <row r="69">
      <c r="A69" s="9" t="n"/>
      <c r="D69" s="11" t="n"/>
    </row>
    <row r="70">
      <c r="A70" s="9" t="n"/>
      <c r="D70" s="11" t="n"/>
    </row>
    <row r="71">
      <c r="A71" s="9" t="n"/>
      <c r="D71" s="11" t="n"/>
    </row>
    <row r="72">
      <c r="A72" s="9" t="n"/>
      <c r="D72" s="11" t="n"/>
    </row>
    <row r="73">
      <c r="A73" s="9" t="n"/>
      <c r="D73" s="11" t="n"/>
    </row>
    <row r="74">
      <c r="A74" s="9" t="n"/>
      <c r="D74" s="11" t="n"/>
    </row>
    <row r="75">
      <c r="A75" s="9" t="n"/>
      <c r="D75" s="11" t="n"/>
    </row>
    <row r="76">
      <c r="A76" s="9" t="n"/>
      <c r="D76" s="11" t="n"/>
    </row>
    <row r="77">
      <c r="A77" s="9" t="n"/>
      <c r="D77" s="11" t="n"/>
    </row>
    <row r="78">
      <c r="A78" s="9" t="n"/>
      <c r="D78" s="11" t="n"/>
    </row>
    <row r="79">
      <c r="A79" s="9" t="n"/>
      <c r="D79" s="11" t="n"/>
    </row>
    <row r="80">
      <c r="A80" s="9" t="n"/>
      <c r="D80" s="11" t="n"/>
    </row>
    <row r="81">
      <c r="A81" s="9" t="n"/>
      <c r="D81" s="11" t="n"/>
    </row>
    <row r="82">
      <c r="A82" s="9" t="n"/>
      <c r="D82" s="11" t="n"/>
    </row>
    <row r="83">
      <c r="A83" s="9" t="n"/>
      <c r="D83" s="11" t="n"/>
    </row>
    <row r="84">
      <c r="A84" s="9" t="n"/>
      <c r="D84" s="11" t="n"/>
    </row>
    <row r="85">
      <c r="A85" s="9" t="n"/>
      <c r="D85" s="11" t="n"/>
    </row>
    <row r="86">
      <c r="A86" s="9" t="n"/>
      <c r="D86" s="11" t="n"/>
    </row>
    <row r="87">
      <c r="A87" s="9" t="n"/>
      <c r="D87" s="11" t="n"/>
    </row>
    <row r="88">
      <c r="A88" s="9" t="n"/>
      <c r="D88" s="11" t="n"/>
    </row>
    <row r="89">
      <c r="A89" s="9" t="n"/>
      <c r="D89" s="11" t="n"/>
    </row>
    <row r="90">
      <c r="A90" s="9" t="n"/>
      <c r="D90" s="11" t="n"/>
    </row>
    <row r="91">
      <c r="A91" s="9" t="n"/>
      <c r="D91" s="11" t="n"/>
    </row>
    <row r="92">
      <c r="A92" s="9" t="n"/>
      <c r="D92" s="11" t="n"/>
    </row>
    <row r="93">
      <c r="A93" s="9" t="n"/>
      <c r="D93" s="11" t="n"/>
    </row>
    <row r="94">
      <c r="A94" s="9" t="n"/>
      <c r="D94" s="11" t="n"/>
    </row>
    <row r="95">
      <c r="A95" s="9" t="n"/>
      <c r="D95" s="11" t="n"/>
    </row>
    <row r="96">
      <c r="A96" s="9" t="n"/>
      <c r="D96" s="11" t="n"/>
    </row>
    <row r="97">
      <c r="A97" s="9" t="n"/>
      <c r="D97" s="11" t="n"/>
    </row>
    <row r="98">
      <c r="A98" s="9" t="n"/>
      <c r="D98" s="11" t="n"/>
    </row>
    <row r="99">
      <c r="A99" s="9" t="n"/>
      <c r="D99" s="11" t="n"/>
    </row>
    <row r="100">
      <c r="A100" s="9" t="n"/>
      <c r="D100" s="11" t="n"/>
    </row>
    <row r="101">
      <c r="A101" s="9" t="n"/>
      <c r="D101" s="11" t="n"/>
    </row>
    <row r="102">
      <c r="A102" s="9" t="n"/>
      <c r="D102" s="11" t="n"/>
    </row>
    <row r="103">
      <c r="A103" s="9" t="n"/>
      <c r="D103" s="11" t="n"/>
    </row>
    <row r="104">
      <c r="A104" s="9" t="n"/>
      <c r="D104" s="11" t="n"/>
    </row>
    <row r="105">
      <c r="A105" s="9" t="n"/>
      <c r="D105" s="11" t="n"/>
    </row>
    <row r="106">
      <c r="A106" s="9" t="n"/>
      <c r="D106" s="11" t="n"/>
    </row>
    <row r="107">
      <c r="A107" s="9" t="n"/>
      <c r="D107" s="11" t="n"/>
    </row>
    <row r="108">
      <c r="A108" s="9" t="n"/>
      <c r="D108" s="11" t="n"/>
    </row>
    <row r="109">
      <c r="A109" s="9" t="n"/>
      <c r="D109" s="11" t="n"/>
    </row>
    <row r="110">
      <c r="A110" s="9" t="n"/>
      <c r="D110" s="11" t="n"/>
    </row>
    <row r="111">
      <c r="A111" s="9" t="n"/>
      <c r="D111" s="11" t="n"/>
    </row>
    <row r="112">
      <c r="A112" s="9" t="n"/>
      <c r="D112" s="11" t="n"/>
    </row>
    <row r="113">
      <c r="A113" s="9" t="n"/>
      <c r="D113" s="11" t="n"/>
    </row>
    <row r="114">
      <c r="A114" s="9" t="n"/>
      <c r="D114" s="11" t="n"/>
    </row>
    <row r="115">
      <c r="A115" s="9" t="n"/>
      <c r="D115" s="11" t="n"/>
    </row>
    <row r="116">
      <c r="A116" s="9" t="n"/>
      <c r="D116" s="11" t="n"/>
    </row>
    <row r="117">
      <c r="A117" s="9" t="n"/>
      <c r="D117" s="11" t="n"/>
    </row>
    <row r="118">
      <c r="A118" s="9" t="n"/>
      <c r="D118" s="11" t="n"/>
    </row>
    <row r="119">
      <c r="A119" s="9" t="n"/>
      <c r="D119" s="11" t="n"/>
    </row>
    <row r="120">
      <c r="A120" s="9" t="n"/>
      <c r="D120" s="11" t="n"/>
    </row>
    <row r="121">
      <c r="A121" s="9" t="n"/>
      <c r="D121" s="11" t="n"/>
    </row>
    <row r="122">
      <c r="A122" s="9" t="n"/>
      <c r="D122" s="11" t="n"/>
    </row>
    <row r="123">
      <c r="A123" s="9" t="n"/>
      <c r="D123" s="11" t="n"/>
    </row>
    <row r="124">
      <c r="A124" s="9" t="n"/>
      <c r="D124" s="11" t="n"/>
    </row>
    <row r="125">
      <c r="A125" s="9" t="n"/>
      <c r="D125" s="11" t="n"/>
    </row>
    <row r="126">
      <c r="A126" s="9" t="n"/>
      <c r="D126" s="11" t="n"/>
    </row>
    <row r="127">
      <c r="A127" s="9" t="n"/>
      <c r="D127" s="11" t="n"/>
    </row>
    <row r="128">
      <c r="A128" s="9" t="n"/>
      <c r="D128" s="11" t="n"/>
    </row>
    <row r="129">
      <c r="A129" s="9" t="n"/>
      <c r="D129" s="11" t="n"/>
    </row>
    <row r="130">
      <c r="A130" s="9" t="n"/>
      <c r="D130" s="11" t="n"/>
    </row>
    <row r="131">
      <c r="A131" s="9" t="n"/>
      <c r="D131" s="11" t="n"/>
    </row>
    <row r="132">
      <c r="A132" s="9" t="n"/>
      <c r="D132" s="11" t="n"/>
    </row>
    <row r="133">
      <c r="A133" s="9" t="n"/>
      <c r="D133" s="11" t="n"/>
    </row>
    <row r="134">
      <c r="A134" s="9" t="n"/>
      <c r="D134" s="11" t="n"/>
    </row>
    <row r="135">
      <c r="A135" s="9" t="n"/>
      <c r="D135" s="11" t="n"/>
    </row>
    <row r="136">
      <c r="A136" s="9" t="n"/>
      <c r="D136" s="11" t="n"/>
    </row>
    <row r="137">
      <c r="A137" s="9" t="n"/>
      <c r="D137" s="11" t="n"/>
    </row>
    <row r="138">
      <c r="A138" s="9" t="n"/>
      <c r="D138" s="11" t="n"/>
    </row>
    <row r="139">
      <c r="A139" s="9" t="n"/>
      <c r="D139" s="11" t="n"/>
    </row>
    <row r="140">
      <c r="A140" s="9" t="n"/>
      <c r="D140" s="11" t="n"/>
    </row>
    <row r="141">
      <c r="A141" s="9" t="n"/>
      <c r="D141" s="11" t="n"/>
    </row>
    <row r="142">
      <c r="A142" s="9" t="n"/>
      <c r="D142" s="11" t="n"/>
    </row>
    <row r="143">
      <c r="A143" s="9" t="n"/>
      <c r="D143" s="11" t="n"/>
    </row>
    <row r="144">
      <c r="A144" s="9" t="n"/>
      <c r="D144" s="11" t="n"/>
    </row>
    <row r="145">
      <c r="A145" s="9" t="n"/>
      <c r="D145" s="11" t="n"/>
    </row>
    <row r="146">
      <c r="A146" s="9" t="n"/>
      <c r="D146" s="11" t="n"/>
    </row>
    <row r="147">
      <c r="A147" s="9" t="n"/>
      <c r="D147" s="11" t="n"/>
    </row>
    <row r="148">
      <c r="A148" s="9" t="n"/>
      <c r="D148" s="11" t="n"/>
    </row>
    <row r="149">
      <c r="A149" s="9" t="n"/>
      <c r="D149" s="11" t="n"/>
    </row>
    <row r="150">
      <c r="A150" s="9" t="n"/>
      <c r="D150" s="11" t="n"/>
    </row>
    <row r="151">
      <c r="A151" s="9" t="n"/>
      <c r="D151" s="11" t="n"/>
    </row>
    <row r="152">
      <c r="A152" s="9" t="n"/>
      <c r="D152" s="11" t="n"/>
    </row>
    <row r="153">
      <c r="A153" s="9" t="n"/>
      <c r="D153" s="11" t="n"/>
    </row>
    <row r="154">
      <c r="A154" s="9" t="n"/>
      <c r="D154" s="11" t="n"/>
    </row>
    <row r="155">
      <c r="A155" s="9" t="n"/>
      <c r="D155" s="11" t="n"/>
    </row>
    <row r="156">
      <c r="A156" s="9" t="n"/>
      <c r="D156" s="11" t="n"/>
    </row>
    <row r="157">
      <c r="A157" s="9" t="n"/>
      <c r="D157" s="11" t="n"/>
    </row>
    <row r="158">
      <c r="A158" s="9" t="n"/>
      <c r="D158" s="11" t="n"/>
    </row>
    <row r="159">
      <c r="A159" s="9" t="n"/>
      <c r="D159" s="11" t="n"/>
    </row>
    <row r="160">
      <c r="A160" s="9" t="n"/>
      <c r="D160" s="11" t="n"/>
    </row>
    <row r="161">
      <c r="A161" s="9" t="n"/>
      <c r="D161" s="11" t="n"/>
    </row>
    <row r="162">
      <c r="A162" s="9" t="n"/>
      <c r="D162" s="11" t="n"/>
    </row>
    <row r="163">
      <c r="A163" s="9" t="n"/>
      <c r="D163" s="11" t="n"/>
    </row>
    <row r="164">
      <c r="A164" s="9" t="n"/>
      <c r="D164" s="11" t="n"/>
    </row>
    <row r="165">
      <c r="A165" s="9" t="n"/>
      <c r="D165" s="11" t="n"/>
    </row>
    <row r="166">
      <c r="A166" s="9" t="n"/>
      <c r="D166" s="11" t="n"/>
    </row>
    <row r="167">
      <c r="A167" s="9" t="n"/>
      <c r="D167" s="11" t="n"/>
    </row>
    <row r="168">
      <c r="A168" s="9" t="n"/>
      <c r="D168" s="11" t="n"/>
    </row>
    <row r="169">
      <c r="A169" s="9" t="n"/>
      <c r="D169" s="11" t="n"/>
    </row>
    <row r="170">
      <c r="A170" s="9" t="n"/>
      <c r="D170" s="11" t="n"/>
    </row>
    <row r="171">
      <c r="A171" s="9" t="n"/>
      <c r="D171" s="11" t="n"/>
    </row>
    <row r="172">
      <c r="A172" s="9" t="n"/>
      <c r="D172" s="11" t="n"/>
    </row>
    <row r="173">
      <c r="A173" s="9" t="n"/>
      <c r="D173" s="11" t="n"/>
    </row>
    <row r="174">
      <c r="A174" s="9" t="n"/>
      <c r="D174" s="11" t="n"/>
    </row>
    <row r="175">
      <c r="A175" s="9" t="n"/>
      <c r="D175" s="11" t="n"/>
    </row>
    <row r="176">
      <c r="A176" s="9" t="n"/>
      <c r="D176" s="11" t="n"/>
    </row>
    <row r="177">
      <c r="A177" s="9" t="n"/>
      <c r="D177" s="11" t="n"/>
    </row>
    <row r="178">
      <c r="A178" s="9" t="n"/>
      <c r="D178" s="11" t="n"/>
    </row>
    <row r="179">
      <c r="A179" s="9" t="n"/>
      <c r="D179" s="11" t="n"/>
    </row>
    <row r="180">
      <c r="A180" s="9" t="n"/>
      <c r="D180" s="11" t="n"/>
    </row>
    <row r="181">
      <c r="A181" s="9" t="n"/>
      <c r="D181" s="11" t="n"/>
    </row>
    <row r="182">
      <c r="A182" s="9" t="n"/>
      <c r="D182" s="11" t="n"/>
    </row>
    <row r="183">
      <c r="A183" s="9" t="n"/>
      <c r="D183" s="11" t="n"/>
    </row>
    <row r="184">
      <c r="A184" s="9" t="n"/>
      <c r="D184" s="11" t="n"/>
    </row>
    <row r="185">
      <c r="A185" s="9" t="n"/>
      <c r="D185" s="11" t="n"/>
    </row>
    <row r="186">
      <c r="A186" s="9" t="n"/>
      <c r="D186" s="11" t="n"/>
    </row>
    <row r="187">
      <c r="A187" s="9" t="n"/>
      <c r="D187" s="11" t="n"/>
    </row>
    <row r="188">
      <c r="A188" s="9" t="n"/>
      <c r="D188" s="11" t="n"/>
    </row>
    <row r="189">
      <c r="A189" s="9" t="n"/>
      <c r="D189" s="11" t="n"/>
    </row>
    <row r="190">
      <c r="A190" s="9" t="n"/>
      <c r="D190" s="11" t="n"/>
    </row>
    <row r="191">
      <c r="A191" s="9" t="n"/>
      <c r="D191" s="11" t="n"/>
    </row>
    <row r="192">
      <c r="A192" s="9" t="n"/>
      <c r="D192" s="11" t="n"/>
    </row>
    <row r="193">
      <c r="A193" s="9" t="n"/>
      <c r="D193" s="11" t="n"/>
    </row>
    <row r="194">
      <c r="A194" s="9" t="n"/>
      <c r="D194" s="11" t="n"/>
    </row>
    <row r="195">
      <c r="A195" s="9" t="n"/>
      <c r="D195" s="11" t="n"/>
    </row>
    <row r="196">
      <c r="A196" s="9" t="n"/>
      <c r="D196" s="11" t="n"/>
    </row>
    <row r="197">
      <c r="A197" s="9" t="n"/>
      <c r="D197" s="11" t="n"/>
    </row>
    <row r="198">
      <c r="A198" s="9" t="n"/>
      <c r="D198" s="11" t="n"/>
    </row>
    <row r="199">
      <c r="A199" s="9" t="n"/>
      <c r="D199" s="11" t="n"/>
    </row>
    <row r="200">
      <c r="A200" s="9" t="n"/>
      <c r="D200" s="11" t="n"/>
    </row>
    <row r="201">
      <c r="A201" s="9" t="n"/>
      <c r="D201" s="11" t="n"/>
    </row>
    <row r="202">
      <c r="A202" s="9" t="n"/>
      <c r="D202" s="11" t="n"/>
    </row>
    <row r="203">
      <c r="A203" s="9" t="n"/>
      <c r="D203" s="11" t="n"/>
    </row>
    <row r="204">
      <c r="A204" s="9" t="n"/>
      <c r="D204" s="11" t="n"/>
    </row>
    <row r="205">
      <c r="A205" s="9" t="n"/>
      <c r="D205" s="11" t="n"/>
    </row>
    <row r="206">
      <c r="A206" s="9" t="n"/>
      <c r="D206" s="11" t="n"/>
    </row>
    <row r="207">
      <c r="A207" s="9" t="n"/>
      <c r="D207" s="11" t="n"/>
    </row>
    <row r="208">
      <c r="A208" s="9" t="n"/>
      <c r="D208" s="11" t="n"/>
    </row>
    <row r="209">
      <c r="A209" s="9" t="n"/>
      <c r="D209" s="11" t="n"/>
    </row>
    <row r="210">
      <c r="A210" s="9" t="n"/>
      <c r="D210" s="11" t="n"/>
    </row>
    <row r="211">
      <c r="A211" s="9" t="n"/>
      <c r="D211" s="11" t="n"/>
    </row>
    <row r="212">
      <c r="A212" s="9" t="n"/>
      <c r="D212" s="11" t="n"/>
    </row>
    <row r="213">
      <c r="A213" s="9" t="n"/>
      <c r="D213" s="11" t="n"/>
    </row>
    <row r="214">
      <c r="A214" s="9" t="n"/>
      <c r="D214" s="11" t="n"/>
    </row>
    <row r="215">
      <c r="A215" s="9" t="n"/>
      <c r="D215" s="11" t="n"/>
    </row>
    <row r="216">
      <c r="A216" s="9" t="n"/>
      <c r="D216" s="11" t="n"/>
    </row>
    <row r="217">
      <c r="A217" s="9" t="n"/>
      <c r="D217" s="11" t="n"/>
    </row>
    <row r="218">
      <c r="A218" s="9" t="n"/>
      <c r="D218" s="11" t="n"/>
    </row>
    <row r="219">
      <c r="A219" s="9" t="n"/>
      <c r="D219" s="11" t="n"/>
    </row>
    <row r="220">
      <c r="A220" s="9" t="n"/>
      <c r="D220" s="11" t="n"/>
    </row>
    <row r="221">
      <c r="A221" s="9" t="n"/>
      <c r="D221" s="11" t="n"/>
    </row>
    <row r="222">
      <c r="A222" s="9" t="n"/>
      <c r="D222" s="11" t="n"/>
    </row>
    <row r="223">
      <c r="A223" s="9" t="n"/>
      <c r="D223" s="11" t="n"/>
    </row>
    <row r="224">
      <c r="A224" s="9" t="n"/>
      <c r="D224" s="11" t="n"/>
    </row>
    <row r="225">
      <c r="A225" s="9" t="n"/>
      <c r="D225" s="11" t="n"/>
    </row>
    <row r="226">
      <c r="A226" s="9" t="n"/>
      <c r="D226" s="11" t="n"/>
    </row>
    <row r="227">
      <c r="A227" s="9" t="n"/>
      <c r="D227" s="11" t="n"/>
    </row>
    <row r="228">
      <c r="A228" s="9" t="n"/>
      <c r="D228" s="11" t="n"/>
    </row>
    <row r="229">
      <c r="A229" s="9" t="n"/>
      <c r="D229" s="11" t="n"/>
    </row>
    <row r="230">
      <c r="A230" s="9" t="n"/>
      <c r="D230" s="11" t="n"/>
    </row>
    <row r="231">
      <c r="A231" s="9" t="n"/>
      <c r="D231" s="11" t="n"/>
    </row>
    <row r="232">
      <c r="A232" s="9" t="n"/>
      <c r="D232" s="11" t="n"/>
    </row>
    <row r="233">
      <c r="A233" s="9" t="n"/>
      <c r="D233" s="11" t="n"/>
    </row>
    <row r="234">
      <c r="A234" s="9" t="n"/>
      <c r="D234" s="11" t="n"/>
    </row>
    <row r="235">
      <c r="A235" s="9" t="n"/>
      <c r="D235" s="11" t="n"/>
    </row>
    <row r="236">
      <c r="A236" s="9" t="n"/>
      <c r="D236" s="11" t="n"/>
    </row>
    <row r="237">
      <c r="A237" s="9" t="n"/>
      <c r="D237" s="11" t="n"/>
    </row>
    <row r="238">
      <c r="A238" s="9" t="n"/>
      <c r="D238" s="11" t="n"/>
    </row>
    <row r="239">
      <c r="A239" s="9" t="n"/>
      <c r="D239" s="11" t="n"/>
    </row>
    <row r="240">
      <c r="A240" s="9" t="n"/>
      <c r="D240" s="11" t="n"/>
    </row>
    <row r="241">
      <c r="A241" s="9" t="n"/>
      <c r="D241" s="11" t="n"/>
    </row>
    <row r="242">
      <c r="A242" s="9" t="n"/>
      <c r="D242" s="11" t="n"/>
    </row>
    <row r="243">
      <c r="A243" s="9" t="n"/>
      <c r="D243" s="11" t="n"/>
    </row>
    <row r="244">
      <c r="A244" s="9" t="n"/>
      <c r="D244" s="11" t="n"/>
    </row>
    <row r="245">
      <c r="A245" s="9" t="n"/>
      <c r="D245" s="11" t="n"/>
    </row>
    <row r="246">
      <c r="A246" s="9" t="n"/>
      <c r="D246" s="11" t="n"/>
    </row>
    <row r="247">
      <c r="A247" s="9" t="n"/>
      <c r="D247" s="11" t="n"/>
    </row>
    <row r="248">
      <c r="A248" s="9" t="n"/>
      <c r="D248" s="11" t="n"/>
    </row>
    <row r="249">
      <c r="A249" s="9" t="n"/>
      <c r="D249" s="11" t="n"/>
    </row>
    <row r="250">
      <c r="A250" s="9" t="n"/>
      <c r="D250" s="11" t="n"/>
    </row>
    <row r="251">
      <c r="A251" s="9" t="n"/>
      <c r="D251" s="11" t="n"/>
    </row>
    <row r="252">
      <c r="A252" s="9" t="n"/>
      <c r="D252" s="11" t="n"/>
    </row>
    <row r="253">
      <c r="A253" s="9" t="n"/>
      <c r="D253" s="11" t="n"/>
    </row>
    <row r="254">
      <c r="A254" s="9" t="n"/>
      <c r="D254" s="11" t="n"/>
    </row>
    <row r="255">
      <c r="A255" s="9" t="n"/>
      <c r="D255" s="11" t="n"/>
    </row>
    <row r="256">
      <c r="A256" s="9" t="n"/>
      <c r="D256" s="11" t="n"/>
    </row>
    <row r="257">
      <c r="A257" s="9" t="n"/>
      <c r="D257" s="11" t="n"/>
    </row>
    <row r="258">
      <c r="A258" s="9" t="n"/>
      <c r="D258" s="11" t="n"/>
    </row>
    <row r="259">
      <c r="A259" s="9" t="n"/>
      <c r="D259" s="11" t="n"/>
    </row>
    <row r="260">
      <c r="A260" s="9" t="n"/>
      <c r="D260" s="11" t="n"/>
    </row>
    <row r="261">
      <c r="A261" s="9" t="n"/>
      <c r="D261" s="11" t="n"/>
    </row>
    <row r="262">
      <c r="A262" s="9" t="n"/>
      <c r="D262" s="11" t="n"/>
    </row>
    <row r="263">
      <c r="A263" s="9" t="n"/>
      <c r="D263" s="11" t="n"/>
    </row>
    <row r="264">
      <c r="A264" s="9" t="n"/>
      <c r="D264" s="11" t="n"/>
    </row>
    <row r="265">
      <c r="A265" s="9" t="n"/>
      <c r="D265" s="11" t="n"/>
    </row>
    <row r="266">
      <c r="A266" s="9" t="n"/>
      <c r="D266" s="11" t="n"/>
    </row>
    <row r="267">
      <c r="A267" s="9" t="n"/>
      <c r="D267" s="11" t="n"/>
    </row>
    <row r="268">
      <c r="A268" s="9" t="n"/>
      <c r="D268" s="11" t="n"/>
    </row>
    <row r="269">
      <c r="A269" s="9" t="n"/>
      <c r="D269" s="11" t="n"/>
    </row>
    <row r="270">
      <c r="A270" s="9" t="n"/>
      <c r="D270" s="11" t="n"/>
    </row>
    <row r="271">
      <c r="A271" s="9" t="n"/>
      <c r="D271" s="11" t="n"/>
    </row>
    <row r="272">
      <c r="A272" s="9" t="n"/>
      <c r="D272" s="11" t="n"/>
    </row>
    <row r="273">
      <c r="A273" s="9" t="n"/>
      <c r="D273" s="11" t="n"/>
    </row>
    <row r="274">
      <c r="A274" s="9" t="n"/>
      <c r="D274" s="11" t="n"/>
    </row>
    <row r="275">
      <c r="A275" s="9" t="n"/>
      <c r="D275" s="11" t="n"/>
    </row>
    <row r="276">
      <c r="A276" s="9" t="n"/>
      <c r="D276" s="11" t="n"/>
    </row>
    <row r="277">
      <c r="A277" s="9" t="n"/>
      <c r="D277" s="11" t="n"/>
    </row>
    <row r="278">
      <c r="A278" s="9" t="n"/>
      <c r="D278" s="11" t="n"/>
    </row>
    <row r="279">
      <c r="A279" s="9" t="n"/>
      <c r="D279" s="11" t="n"/>
    </row>
    <row r="280">
      <c r="A280" s="9" t="n"/>
      <c r="D280" s="11" t="n"/>
    </row>
    <row r="281">
      <c r="A281" s="9" t="n"/>
      <c r="D281" s="11" t="n"/>
    </row>
    <row r="282">
      <c r="A282" s="9" t="n"/>
      <c r="D282" s="11" t="n"/>
    </row>
    <row r="283">
      <c r="A283" s="9" t="n"/>
      <c r="D283" s="11" t="n"/>
    </row>
    <row r="284">
      <c r="A284" s="9" t="n"/>
      <c r="D284" s="11" t="n"/>
    </row>
    <row r="285">
      <c r="A285" s="9" t="n"/>
      <c r="D285" s="11" t="n"/>
    </row>
    <row r="286">
      <c r="A286" s="9" t="n"/>
      <c r="D286" s="11" t="n"/>
    </row>
    <row r="287">
      <c r="A287" s="9" t="n"/>
      <c r="D287" s="11" t="n"/>
    </row>
    <row r="288">
      <c r="A288" s="9" t="n"/>
      <c r="D288" s="11" t="n"/>
    </row>
    <row r="289">
      <c r="A289" s="9" t="n"/>
      <c r="D289" s="11" t="n"/>
    </row>
    <row r="290">
      <c r="A290" s="9" t="n"/>
      <c r="D290" s="11" t="n"/>
    </row>
    <row r="291">
      <c r="A291" s="9" t="n"/>
      <c r="D291" s="11" t="n"/>
    </row>
    <row r="292">
      <c r="A292" s="9" t="n"/>
      <c r="D292" s="11" t="n"/>
    </row>
    <row r="293">
      <c r="A293" s="9" t="n"/>
      <c r="D293" s="11" t="n"/>
    </row>
    <row r="294">
      <c r="A294" s="9" t="n"/>
      <c r="D294" s="11" t="n"/>
    </row>
    <row r="295">
      <c r="A295" s="9" t="n"/>
      <c r="D295" s="11" t="n"/>
    </row>
    <row r="296">
      <c r="A296" s="9" t="n"/>
      <c r="D296" s="11" t="n"/>
    </row>
    <row r="297">
      <c r="A297" s="9" t="n"/>
      <c r="D297" s="11" t="n"/>
    </row>
    <row r="298">
      <c r="A298" s="9" t="n"/>
      <c r="D298" s="11" t="n"/>
    </row>
    <row r="299">
      <c r="A299" s="9" t="n"/>
      <c r="D299" s="11" t="n"/>
    </row>
    <row r="300">
      <c r="A300" s="9" t="n"/>
      <c r="D300" s="11" t="n"/>
    </row>
    <row r="301">
      <c r="A301" s="9" t="n"/>
      <c r="D301" s="11" t="n"/>
    </row>
    <row r="302">
      <c r="A302" s="9" t="n"/>
      <c r="D302" s="11" t="n"/>
    </row>
    <row r="303">
      <c r="A303" s="9" t="n"/>
      <c r="D303" s="11" t="n"/>
    </row>
    <row r="304">
      <c r="A304" s="9" t="n"/>
      <c r="D304" s="11" t="n"/>
    </row>
    <row r="305">
      <c r="A305" s="9" t="n"/>
      <c r="D305" s="11" t="n"/>
    </row>
    <row r="306">
      <c r="A306" s="9" t="n"/>
      <c r="D306" s="11" t="n"/>
    </row>
    <row r="307">
      <c r="A307" s="9" t="n"/>
      <c r="D307" s="11" t="n"/>
    </row>
    <row r="308">
      <c r="A308" s="9" t="n"/>
      <c r="D308" s="11" t="n"/>
    </row>
    <row r="309">
      <c r="A309" s="9" t="n"/>
      <c r="D309" s="11" t="n"/>
    </row>
    <row r="310">
      <c r="A310" s="9" t="n"/>
      <c r="D310" s="11" t="n"/>
    </row>
    <row r="311">
      <c r="A311" s="9" t="n"/>
      <c r="D311" s="11" t="n"/>
    </row>
    <row r="312">
      <c r="A312" s="9" t="n"/>
      <c r="D312" s="11" t="n"/>
    </row>
    <row r="313">
      <c r="A313" s="9" t="n"/>
      <c r="D313" s="11" t="n"/>
    </row>
    <row r="314">
      <c r="A314" s="9" t="n"/>
      <c r="D314" s="11" t="n"/>
    </row>
    <row r="315">
      <c r="A315" s="9" t="n"/>
      <c r="D315" s="11" t="n"/>
    </row>
    <row r="316">
      <c r="A316" s="9" t="n"/>
      <c r="D316" s="11" t="n"/>
    </row>
    <row r="317">
      <c r="A317" s="9" t="n"/>
      <c r="D317" s="11" t="n"/>
    </row>
    <row r="318">
      <c r="A318" s="9" t="n"/>
      <c r="D318" s="11" t="n"/>
    </row>
    <row r="319">
      <c r="A319" s="9" t="n"/>
      <c r="D319" s="11" t="n"/>
    </row>
    <row r="320">
      <c r="A320" s="9" t="n"/>
      <c r="D320" s="11" t="n"/>
    </row>
    <row r="321">
      <c r="A321" s="9" t="n"/>
      <c r="D321" s="11" t="n"/>
    </row>
    <row r="322">
      <c r="A322" s="9" t="n"/>
      <c r="D322" s="11" t="n"/>
    </row>
    <row r="323">
      <c r="A323" s="9" t="n"/>
      <c r="D323" s="11" t="n"/>
    </row>
    <row r="324">
      <c r="A324" s="9" t="n"/>
      <c r="D324" s="11" t="n"/>
    </row>
    <row r="325">
      <c r="A325" s="9" t="n"/>
      <c r="D325" s="11" t="n"/>
    </row>
    <row r="326">
      <c r="A326" s="9" t="n"/>
      <c r="D326" s="11" t="n"/>
    </row>
    <row r="327">
      <c r="A327" s="9" t="n"/>
      <c r="D327" s="11" t="n"/>
    </row>
    <row r="328">
      <c r="A328" s="9" t="n"/>
      <c r="D328" s="11" t="n"/>
    </row>
    <row r="329">
      <c r="A329" s="9" t="n"/>
      <c r="D329" s="11" t="n"/>
    </row>
    <row r="330">
      <c r="A330" s="9" t="n"/>
      <c r="D330" s="11" t="n"/>
    </row>
    <row r="331">
      <c r="A331" s="9" t="n"/>
      <c r="D331" s="11" t="n"/>
    </row>
    <row r="332">
      <c r="A332" s="9" t="n"/>
      <c r="D332" s="11" t="n"/>
    </row>
    <row r="333">
      <c r="A333" s="9" t="n"/>
      <c r="D333" s="11" t="n"/>
    </row>
    <row r="334">
      <c r="A334" s="9" t="n"/>
      <c r="D334" s="11" t="n"/>
    </row>
    <row r="335">
      <c r="A335" s="9" t="n"/>
      <c r="D335" s="11" t="n"/>
    </row>
    <row r="336">
      <c r="A336" s="9" t="n"/>
      <c r="D336" s="11" t="n"/>
    </row>
    <row r="337">
      <c r="A337" s="9" t="n"/>
      <c r="D337" s="11" t="n"/>
    </row>
    <row r="338">
      <c r="A338" s="9" t="n"/>
      <c r="D338" s="11" t="n"/>
    </row>
    <row r="339">
      <c r="A339" s="9" t="n"/>
      <c r="D339" s="11" t="n"/>
    </row>
    <row r="340">
      <c r="A340" s="9" t="n"/>
      <c r="D340" s="11" t="n"/>
    </row>
    <row r="341">
      <c r="A341" s="9" t="n"/>
      <c r="D341" s="11" t="n"/>
    </row>
    <row r="342">
      <c r="A342" s="9" t="n"/>
      <c r="D342" s="11" t="n"/>
    </row>
    <row r="343">
      <c r="A343" s="9" t="n"/>
      <c r="D343" s="11" t="n"/>
    </row>
    <row r="344">
      <c r="A344" s="9" t="n"/>
      <c r="D344" s="11" t="n"/>
    </row>
    <row r="345">
      <c r="A345" s="9" t="n"/>
      <c r="D345" s="11" t="n"/>
    </row>
    <row r="346">
      <c r="A346" s="9" t="n"/>
      <c r="D346" s="11" t="n"/>
    </row>
    <row r="347">
      <c r="A347" s="9" t="n"/>
      <c r="D347" s="11" t="n"/>
    </row>
    <row r="348">
      <c r="A348" s="9" t="n"/>
      <c r="D348" s="11" t="n"/>
    </row>
    <row r="349">
      <c r="A349" s="9" t="n"/>
      <c r="D349" s="11" t="n"/>
    </row>
    <row r="350">
      <c r="A350" s="9" t="n"/>
      <c r="D350" s="11" t="n"/>
    </row>
    <row r="351">
      <c r="A351" s="9" t="n"/>
      <c r="D351" s="11" t="n"/>
    </row>
    <row r="352">
      <c r="A352" s="9" t="n"/>
      <c r="D352" s="11" t="n"/>
    </row>
    <row r="353">
      <c r="A353" s="9" t="n"/>
      <c r="D353" s="11" t="n"/>
    </row>
    <row r="354">
      <c r="A354" s="9" t="n"/>
      <c r="D354" s="11" t="n"/>
    </row>
    <row r="355">
      <c r="A355" s="9" t="n"/>
      <c r="D355" s="11" t="n"/>
    </row>
    <row r="356">
      <c r="A356" s="9" t="n"/>
      <c r="D356" s="11" t="n"/>
    </row>
    <row r="357">
      <c r="A357" s="9" t="n"/>
      <c r="D357" s="11" t="n"/>
    </row>
    <row r="358">
      <c r="A358" s="9" t="n"/>
      <c r="D358" s="11" t="n"/>
    </row>
    <row r="359">
      <c r="A359" s="9" t="n"/>
      <c r="D359" s="11" t="n"/>
    </row>
    <row r="360">
      <c r="A360" s="9" t="n"/>
      <c r="D360" s="11" t="n"/>
    </row>
    <row r="361">
      <c r="A361" s="9" t="n"/>
      <c r="D361" s="11" t="n"/>
    </row>
    <row r="362">
      <c r="A362" s="9" t="n"/>
      <c r="D362" s="11" t="n"/>
    </row>
    <row r="363">
      <c r="A363" s="9" t="n"/>
      <c r="D363" s="11" t="n"/>
    </row>
    <row r="364">
      <c r="A364" s="9" t="n"/>
      <c r="D364" s="11" t="n"/>
    </row>
    <row r="365">
      <c r="A365" s="9" t="n"/>
      <c r="D365" s="11" t="n"/>
    </row>
    <row r="366">
      <c r="A366" s="9" t="n"/>
      <c r="D366" s="11" t="n"/>
    </row>
    <row r="367">
      <c r="A367" s="9" t="n"/>
      <c r="D367" s="11" t="n"/>
    </row>
    <row r="368">
      <c r="A368" s="9" t="n"/>
      <c r="D368" s="11" t="n"/>
    </row>
    <row r="369">
      <c r="A369" s="9" t="n"/>
      <c r="D369" s="11" t="n"/>
    </row>
    <row r="370">
      <c r="A370" s="9" t="n"/>
      <c r="D370" s="11" t="n"/>
    </row>
    <row r="371">
      <c r="A371" s="9" t="n"/>
      <c r="D371" s="11" t="n"/>
    </row>
    <row r="372">
      <c r="A372" s="9" t="n"/>
      <c r="D372" s="11" t="n"/>
    </row>
    <row r="373">
      <c r="A373" s="9" t="n"/>
      <c r="D373" s="11" t="n"/>
    </row>
    <row r="374">
      <c r="A374" s="9" t="n"/>
      <c r="D374" s="11" t="n"/>
    </row>
    <row r="375">
      <c r="A375" s="9" t="n"/>
      <c r="D375" s="11" t="n"/>
    </row>
    <row r="376">
      <c r="A376" s="9" t="n"/>
      <c r="D376" s="11" t="n"/>
    </row>
    <row r="377">
      <c r="A377" s="9" t="n"/>
      <c r="D377" s="11" t="n"/>
    </row>
    <row r="378">
      <c r="A378" s="9" t="n"/>
      <c r="D378" s="11" t="n"/>
    </row>
    <row r="379">
      <c r="A379" s="9" t="n"/>
      <c r="D379" s="11" t="n"/>
    </row>
    <row r="380">
      <c r="A380" s="9" t="n"/>
      <c r="D380" s="11" t="n"/>
    </row>
    <row r="381">
      <c r="A381" s="9" t="n"/>
      <c r="D381" s="11" t="n"/>
    </row>
    <row r="382">
      <c r="A382" s="9" t="n"/>
      <c r="D382" s="11" t="n"/>
    </row>
    <row r="383">
      <c r="A383" s="9" t="n"/>
      <c r="D383" s="11" t="n"/>
    </row>
    <row r="384">
      <c r="A384" s="9" t="n"/>
      <c r="D384" s="11" t="n"/>
    </row>
    <row r="385">
      <c r="A385" s="9" t="n"/>
      <c r="D385" s="11" t="n"/>
    </row>
    <row r="386">
      <c r="A386" s="9" t="n"/>
      <c r="D386" s="11" t="n"/>
    </row>
    <row r="387">
      <c r="A387" s="9" t="n"/>
      <c r="D387" s="11" t="n"/>
    </row>
    <row r="388">
      <c r="A388" s="9" t="n"/>
      <c r="D388" s="11" t="n"/>
    </row>
    <row r="389">
      <c r="A389" s="9" t="n"/>
      <c r="D389" s="11" t="n"/>
    </row>
    <row r="390">
      <c r="A390" s="9" t="n"/>
      <c r="D390" s="11" t="n"/>
    </row>
    <row r="391">
      <c r="A391" s="9" t="n"/>
      <c r="D391" s="11" t="n"/>
    </row>
    <row r="392">
      <c r="A392" s="9" t="n"/>
      <c r="D392" s="11" t="n"/>
    </row>
    <row r="393">
      <c r="A393" s="9" t="n"/>
      <c r="D393" s="11" t="n"/>
    </row>
    <row r="394">
      <c r="A394" s="9" t="n"/>
      <c r="D394" s="11" t="n"/>
    </row>
    <row r="395">
      <c r="A395" s="9" t="n"/>
      <c r="D395" s="11" t="n"/>
    </row>
    <row r="396">
      <c r="A396" s="9" t="n"/>
      <c r="D396" s="11" t="n"/>
    </row>
    <row r="397">
      <c r="A397" s="9" t="n"/>
      <c r="D397" s="11" t="n"/>
    </row>
    <row r="398">
      <c r="A398" s="9" t="n"/>
      <c r="D398" s="11" t="n"/>
    </row>
    <row r="399">
      <c r="A399" s="9" t="n"/>
      <c r="D399" s="11" t="n"/>
    </row>
    <row r="400">
      <c r="A400" s="9" t="n"/>
      <c r="D400" s="11" t="n"/>
    </row>
    <row r="401">
      <c r="A401" s="9" t="n"/>
      <c r="D401" s="11" t="n"/>
    </row>
    <row r="402">
      <c r="A402" s="9" t="n"/>
      <c r="D402" s="11" t="n"/>
    </row>
    <row r="403">
      <c r="A403" s="9" t="n"/>
      <c r="D403" s="11" t="n"/>
    </row>
    <row r="404">
      <c r="A404" s="9" t="n"/>
      <c r="D404" s="11" t="n"/>
    </row>
    <row r="405">
      <c r="A405" s="9" t="n"/>
      <c r="D405" s="11" t="n"/>
    </row>
    <row r="406">
      <c r="A406" s="9" t="n"/>
      <c r="D406" s="11" t="n"/>
    </row>
    <row r="407">
      <c r="A407" s="9" t="n"/>
      <c r="D407" s="11" t="n"/>
    </row>
    <row r="408">
      <c r="A408" s="9" t="n"/>
      <c r="D408" s="11" t="n"/>
    </row>
    <row r="409">
      <c r="A409" s="9" t="n"/>
      <c r="D409" s="11" t="n"/>
    </row>
    <row r="410">
      <c r="A410" s="9" t="n"/>
      <c r="D410" s="11" t="n"/>
    </row>
    <row r="411">
      <c r="A411" s="9" t="n"/>
      <c r="D411" s="11" t="n"/>
    </row>
    <row r="412">
      <c r="A412" s="9" t="n"/>
      <c r="D412" s="11" t="n"/>
    </row>
    <row r="413">
      <c r="A413" s="9" t="n"/>
      <c r="D413" s="11" t="n"/>
    </row>
    <row r="414">
      <c r="A414" s="9" t="n"/>
      <c r="D414" s="11" t="n"/>
    </row>
    <row r="415">
      <c r="A415" s="9" t="n"/>
      <c r="D415" s="11" t="n"/>
    </row>
    <row r="416">
      <c r="A416" s="9" t="n"/>
      <c r="D416" s="11" t="n"/>
    </row>
    <row r="417">
      <c r="A417" s="9" t="n"/>
      <c r="D417" s="11" t="n"/>
    </row>
    <row r="418">
      <c r="A418" s="9" t="n"/>
      <c r="D418" s="11" t="n"/>
    </row>
    <row r="419">
      <c r="A419" s="9" t="n"/>
      <c r="D419" s="11" t="n"/>
    </row>
    <row r="420">
      <c r="A420" s="9" t="n"/>
      <c r="D420" s="11" t="n"/>
    </row>
    <row r="421">
      <c r="A421" s="9" t="n"/>
      <c r="D421" s="11" t="n"/>
    </row>
    <row r="422">
      <c r="A422" s="9" t="n"/>
      <c r="D422" s="11" t="n"/>
    </row>
    <row r="423">
      <c r="A423" s="9" t="n"/>
      <c r="D423" s="11" t="n"/>
    </row>
    <row r="424">
      <c r="A424" s="9" t="n"/>
      <c r="D424" s="11" t="n"/>
    </row>
    <row r="425">
      <c r="A425" s="9" t="n"/>
      <c r="D425" s="11" t="n"/>
    </row>
    <row r="426">
      <c r="A426" s="9" t="n"/>
      <c r="D426" s="11" t="n"/>
    </row>
    <row r="427">
      <c r="A427" s="9" t="n"/>
      <c r="D427" s="11" t="n"/>
    </row>
    <row r="428">
      <c r="A428" s="9" t="n"/>
      <c r="D428" s="11" t="n"/>
    </row>
    <row r="429">
      <c r="A429" s="9" t="n"/>
      <c r="D429" s="11" t="n"/>
    </row>
    <row r="430">
      <c r="A430" s="9" t="n"/>
      <c r="D430" s="11" t="n"/>
    </row>
    <row r="431">
      <c r="A431" s="9" t="n"/>
      <c r="D431" s="11" t="n"/>
    </row>
    <row r="432">
      <c r="A432" s="9" t="n"/>
      <c r="D432" s="11" t="n"/>
    </row>
    <row r="433">
      <c r="A433" s="9" t="n"/>
      <c r="D433" s="11" t="n"/>
    </row>
    <row r="434">
      <c r="A434" s="9" t="n"/>
      <c r="D434" s="11" t="n"/>
    </row>
    <row r="435">
      <c r="A435" s="9" t="n"/>
      <c r="D435" s="11" t="n"/>
    </row>
    <row r="436">
      <c r="A436" s="9" t="n"/>
      <c r="D436" s="11" t="n"/>
    </row>
    <row r="437">
      <c r="A437" s="9" t="n"/>
      <c r="D437" s="11" t="n"/>
    </row>
    <row r="438">
      <c r="A438" s="9" t="n"/>
      <c r="D438" s="11" t="n"/>
    </row>
    <row r="439">
      <c r="A439" s="9" t="n"/>
      <c r="D439" s="11" t="n"/>
    </row>
    <row r="440">
      <c r="A440" s="9" t="n"/>
      <c r="D440" s="11" t="n"/>
    </row>
    <row r="441">
      <c r="A441" s="9" t="n"/>
      <c r="D441" s="11" t="n"/>
    </row>
    <row r="442">
      <c r="A442" s="9" t="n"/>
      <c r="D442" s="11" t="n"/>
    </row>
    <row r="443">
      <c r="A443" s="9" t="n"/>
      <c r="D443" s="11" t="n"/>
    </row>
    <row r="444">
      <c r="A444" s="9" t="n"/>
      <c r="D444" s="11" t="n"/>
    </row>
    <row r="445">
      <c r="A445" s="9" t="n"/>
      <c r="D445" s="11" t="n"/>
    </row>
    <row r="446">
      <c r="A446" s="9" t="n"/>
      <c r="D446" s="11" t="n"/>
    </row>
    <row r="447">
      <c r="A447" s="9" t="n"/>
      <c r="D447" s="11" t="n"/>
    </row>
    <row r="448">
      <c r="A448" s="9" t="n"/>
      <c r="D448" s="11" t="n"/>
    </row>
    <row r="449">
      <c r="A449" s="9" t="n"/>
      <c r="D449" s="11" t="n"/>
    </row>
    <row r="450">
      <c r="A450" s="9" t="n"/>
      <c r="D450" s="11" t="n"/>
    </row>
    <row r="451">
      <c r="A451" s="9" t="n"/>
      <c r="D451" s="11" t="n"/>
    </row>
    <row r="452">
      <c r="A452" s="9" t="n"/>
      <c r="D452" s="11" t="n"/>
    </row>
    <row r="453">
      <c r="A453" s="9" t="n"/>
      <c r="D453" s="11" t="n"/>
    </row>
    <row r="454">
      <c r="A454" s="9" t="n"/>
      <c r="D454" s="11" t="n"/>
    </row>
    <row r="455">
      <c r="A455" s="9" t="n"/>
      <c r="D455" s="11" t="n"/>
    </row>
    <row r="456">
      <c r="A456" s="9" t="n"/>
      <c r="D456" s="11" t="n"/>
    </row>
    <row r="457">
      <c r="A457" s="9" t="n"/>
      <c r="D457" s="11" t="n"/>
    </row>
    <row r="458">
      <c r="A458" s="9" t="n"/>
      <c r="D458" s="11" t="n"/>
    </row>
    <row r="459">
      <c r="A459" s="9" t="n"/>
      <c r="D459" s="11" t="n"/>
    </row>
    <row r="460">
      <c r="A460" s="9" t="n"/>
      <c r="D460" s="11" t="n"/>
    </row>
    <row r="461">
      <c r="A461" s="9" t="n"/>
      <c r="D461" s="11" t="n"/>
    </row>
    <row r="462">
      <c r="A462" s="9" t="n"/>
      <c r="D462" s="11" t="n"/>
    </row>
    <row r="463">
      <c r="A463" s="9" t="n"/>
      <c r="D463" s="11" t="n"/>
    </row>
    <row r="464">
      <c r="A464" s="9" t="n"/>
      <c r="D464" s="11" t="n"/>
    </row>
    <row r="465">
      <c r="A465" s="9" t="n"/>
      <c r="D465" s="11" t="n"/>
    </row>
    <row r="466">
      <c r="A466" s="9" t="n"/>
      <c r="D466" s="11" t="n"/>
    </row>
    <row r="467">
      <c r="A467" s="9" t="n"/>
      <c r="D467" s="11" t="n"/>
    </row>
    <row r="468">
      <c r="A468" s="9" t="n"/>
      <c r="D468" s="11" t="n"/>
    </row>
    <row r="469">
      <c r="A469" s="9" t="n"/>
      <c r="D469" s="11" t="n"/>
    </row>
    <row r="470">
      <c r="A470" s="9" t="n"/>
      <c r="D470" s="11" t="n"/>
    </row>
    <row r="471">
      <c r="A471" s="9" t="n"/>
      <c r="D471" s="11" t="n"/>
    </row>
    <row r="472">
      <c r="A472" s="9" t="n"/>
      <c r="D472" s="11" t="n"/>
    </row>
    <row r="473">
      <c r="A473" s="9" t="n"/>
      <c r="D473" s="11" t="n"/>
    </row>
    <row r="474">
      <c r="A474" s="9" t="n"/>
      <c r="D474" s="11" t="n"/>
    </row>
    <row r="475">
      <c r="A475" s="9" t="n"/>
      <c r="D475" s="11" t="n"/>
    </row>
    <row r="476">
      <c r="A476" s="9" t="n"/>
      <c r="D476" s="11" t="n"/>
    </row>
    <row r="477">
      <c r="A477" s="9" t="n"/>
      <c r="D477" s="11" t="n"/>
    </row>
    <row r="478">
      <c r="A478" s="9" t="n"/>
      <c r="D478" s="11" t="n"/>
    </row>
    <row r="479">
      <c r="A479" s="9" t="n"/>
      <c r="D479" s="11" t="n"/>
    </row>
    <row r="480">
      <c r="A480" s="9" t="n"/>
      <c r="D480" s="11" t="n"/>
    </row>
    <row r="481">
      <c r="A481" s="9" t="n"/>
      <c r="D481" s="11" t="n"/>
    </row>
    <row r="482">
      <c r="A482" s="9" t="n"/>
      <c r="D482" s="11" t="n"/>
    </row>
    <row r="483">
      <c r="A483" s="9" t="n"/>
      <c r="D483" s="11" t="n"/>
    </row>
    <row r="484">
      <c r="A484" s="9" t="n"/>
      <c r="D484" s="11" t="n"/>
    </row>
    <row r="485">
      <c r="A485" s="9" t="n"/>
      <c r="D485" s="11" t="n"/>
    </row>
    <row r="486">
      <c r="A486" s="9" t="n"/>
      <c r="D486" s="11" t="n"/>
    </row>
    <row r="487">
      <c r="A487" s="9" t="n"/>
      <c r="D487" s="11" t="n"/>
    </row>
    <row r="488">
      <c r="A488" s="9" t="n"/>
      <c r="D488" s="11" t="n"/>
    </row>
    <row r="489">
      <c r="A489" s="9" t="n"/>
      <c r="D489" s="11" t="n"/>
    </row>
    <row r="490">
      <c r="A490" s="9" t="n"/>
      <c r="D490" s="11" t="n"/>
    </row>
    <row r="491">
      <c r="A491" s="9" t="n"/>
      <c r="D491" s="11" t="n"/>
    </row>
    <row r="492">
      <c r="A492" s="9" t="n"/>
      <c r="D492" s="11" t="n"/>
    </row>
    <row r="493">
      <c r="A493" s="9" t="n"/>
      <c r="D493" s="11" t="n"/>
    </row>
    <row r="494">
      <c r="A494" s="9" t="n"/>
      <c r="D494" s="11" t="n"/>
    </row>
    <row r="495">
      <c r="A495" s="9" t="n"/>
      <c r="D495" s="11" t="n"/>
    </row>
    <row r="496">
      <c r="A496" s="9" t="n"/>
      <c r="D496" s="11" t="n"/>
    </row>
    <row r="497">
      <c r="A497" s="9" t="n"/>
      <c r="D497" s="11" t="n"/>
    </row>
    <row r="498">
      <c r="A498" s="9" t="n"/>
      <c r="D498" s="11" t="n"/>
    </row>
    <row r="499">
      <c r="A499" s="9" t="n"/>
      <c r="D499" s="11" t="n"/>
    </row>
    <row r="500">
      <c r="A500" s="9" t="n"/>
      <c r="D500" s="11" t="n"/>
    </row>
    <row r="501">
      <c r="A501" s="9" t="n"/>
      <c r="D501" s="11" t="n"/>
    </row>
    <row r="502">
      <c r="A502" s="9" t="n"/>
      <c r="D502" s="11" t="n"/>
    </row>
    <row r="503">
      <c r="A503" s="9" t="n"/>
      <c r="D503" s="11" t="n"/>
    </row>
    <row r="504">
      <c r="A504" s="9" t="n"/>
      <c r="D504" s="11" t="n"/>
    </row>
    <row r="505">
      <c r="A505" s="9" t="n"/>
      <c r="D505" s="11" t="n"/>
    </row>
    <row r="506">
      <c r="A506" s="9" t="n"/>
      <c r="D506" s="11" t="n"/>
    </row>
    <row r="507">
      <c r="A507" s="9" t="n"/>
      <c r="D507" s="11" t="n"/>
    </row>
    <row r="508">
      <c r="A508" s="9" t="n"/>
      <c r="D508" s="11" t="n"/>
    </row>
    <row r="509">
      <c r="A509" s="9" t="n"/>
      <c r="D509" s="11" t="n"/>
    </row>
    <row r="510">
      <c r="A510" s="9" t="n"/>
      <c r="D510" s="11" t="n"/>
    </row>
    <row r="511">
      <c r="A511" s="9" t="n"/>
      <c r="D511" s="11" t="n"/>
    </row>
    <row r="512">
      <c r="A512" s="9" t="n"/>
      <c r="D512" s="11" t="n"/>
    </row>
    <row r="513">
      <c r="A513" s="9" t="n"/>
      <c r="D513" s="11" t="n"/>
    </row>
    <row r="514">
      <c r="A514" s="9" t="n"/>
      <c r="D514" s="11" t="n"/>
    </row>
    <row r="515">
      <c r="A515" s="9" t="n"/>
      <c r="D515" s="11" t="n"/>
    </row>
    <row r="516">
      <c r="A516" s="9" t="n"/>
      <c r="D516" s="11" t="n"/>
    </row>
    <row r="517">
      <c r="A517" s="9" t="n"/>
      <c r="D517" s="11" t="n"/>
    </row>
    <row r="518">
      <c r="A518" s="9" t="n"/>
      <c r="D518" s="11" t="n"/>
    </row>
    <row r="519">
      <c r="A519" s="9" t="n"/>
      <c r="D519" s="11" t="n"/>
    </row>
    <row r="520">
      <c r="A520" s="9" t="n"/>
      <c r="D520" s="11" t="n"/>
    </row>
    <row r="521">
      <c r="A521" s="9" t="n"/>
      <c r="D521" s="11" t="n"/>
    </row>
    <row r="522">
      <c r="A522" s="9" t="n"/>
      <c r="D522" s="11" t="n"/>
    </row>
    <row r="523">
      <c r="A523" s="9" t="n"/>
      <c r="D523" s="11" t="n"/>
    </row>
    <row r="524">
      <c r="A524" s="9" t="n"/>
      <c r="D524" s="11" t="n"/>
    </row>
    <row r="525">
      <c r="A525" s="9" t="n"/>
      <c r="D525" s="11" t="n"/>
    </row>
    <row r="526">
      <c r="A526" s="9" t="n"/>
      <c r="D526" s="11" t="n"/>
    </row>
    <row r="527">
      <c r="A527" s="9" t="n"/>
      <c r="D527" s="11" t="n"/>
    </row>
    <row r="528">
      <c r="A528" s="9" t="n"/>
      <c r="D528" s="11" t="n"/>
    </row>
    <row r="529">
      <c r="A529" s="9" t="n"/>
      <c r="D529" s="11" t="n"/>
    </row>
    <row r="530">
      <c r="A530" s="9" t="n"/>
      <c r="D530" s="11" t="n"/>
    </row>
    <row r="531">
      <c r="A531" s="9" t="n"/>
      <c r="D531" s="11" t="n"/>
    </row>
    <row r="532">
      <c r="A532" s="9" t="n"/>
      <c r="D532" s="11" t="n"/>
    </row>
    <row r="533">
      <c r="A533" s="9" t="n"/>
      <c r="D533" s="11" t="n"/>
    </row>
    <row r="534">
      <c r="A534" s="9" t="n"/>
      <c r="D534" s="11" t="n"/>
    </row>
    <row r="535">
      <c r="A535" s="9" t="n"/>
      <c r="D535" s="11" t="n"/>
    </row>
    <row r="536">
      <c r="A536" s="9" t="n"/>
      <c r="D536" s="11" t="n"/>
    </row>
    <row r="537">
      <c r="A537" s="9" t="n"/>
      <c r="D537" s="11" t="n"/>
    </row>
    <row r="538">
      <c r="A538" s="9" t="n"/>
      <c r="D538" s="11" t="n"/>
    </row>
    <row r="539">
      <c r="A539" s="9" t="n"/>
      <c r="D539" s="11" t="n"/>
    </row>
    <row r="540">
      <c r="A540" s="9" t="n"/>
      <c r="D540" s="11" t="n"/>
    </row>
    <row r="541">
      <c r="A541" s="9" t="n"/>
      <c r="D541" s="11" t="n"/>
    </row>
    <row r="542">
      <c r="A542" s="9" t="n"/>
      <c r="D542" s="11" t="n"/>
    </row>
    <row r="543">
      <c r="A543" s="9" t="n"/>
      <c r="D543" s="11" t="n"/>
    </row>
    <row r="544">
      <c r="A544" s="9" t="n"/>
      <c r="D544" s="11" t="n"/>
    </row>
    <row r="545">
      <c r="A545" s="9" t="n"/>
      <c r="D545" s="11" t="n"/>
    </row>
    <row r="546">
      <c r="A546" s="9" t="n"/>
      <c r="D546" s="11" t="n"/>
    </row>
    <row r="547">
      <c r="A547" s="9" t="n"/>
      <c r="D547" s="11" t="n"/>
    </row>
    <row r="548">
      <c r="A548" s="9" t="n"/>
      <c r="D548" s="11" t="n"/>
    </row>
    <row r="549">
      <c r="A549" s="9" t="n"/>
      <c r="D549" s="11" t="n"/>
    </row>
    <row r="550">
      <c r="A550" s="9" t="n"/>
      <c r="D550" s="11" t="n"/>
    </row>
    <row r="551">
      <c r="A551" s="9" t="n"/>
      <c r="D551" s="11" t="n"/>
    </row>
    <row r="552">
      <c r="A552" s="9" t="n"/>
      <c r="D552" s="11" t="n"/>
    </row>
    <row r="553">
      <c r="A553" s="9" t="n"/>
      <c r="D553" s="11" t="n"/>
    </row>
    <row r="554">
      <c r="A554" s="9" t="n"/>
      <c r="D554" s="11" t="n"/>
    </row>
    <row r="555">
      <c r="A555" s="9" t="n"/>
      <c r="D555" s="11" t="n"/>
    </row>
    <row r="556">
      <c r="A556" s="9" t="n"/>
      <c r="D556" s="11" t="n"/>
    </row>
    <row r="557">
      <c r="A557" s="9" t="n"/>
      <c r="D557" s="11" t="n"/>
    </row>
    <row r="558">
      <c r="A558" s="9" t="n"/>
      <c r="D558" s="11" t="n"/>
    </row>
    <row r="559">
      <c r="A559" s="9" t="n"/>
      <c r="D559" s="11" t="n"/>
    </row>
    <row r="560">
      <c r="A560" s="9" t="n"/>
      <c r="D560" s="11" t="n"/>
    </row>
    <row r="561">
      <c r="A561" s="9" t="n"/>
      <c r="D561" s="11" t="n"/>
    </row>
    <row r="562">
      <c r="A562" s="9" t="n"/>
      <c r="D562" s="11" t="n"/>
    </row>
    <row r="563">
      <c r="A563" s="9" t="n"/>
      <c r="D563" s="11" t="n"/>
    </row>
    <row r="564">
      <c r="A564" s="9" t="n"/>
      <c r="D564" s="11" t="n"/>
    </row>
    <row r="565">
      <c r="A565" s="9" t="n"/>
      <c r="D565" s="11" t="n"/>
    </row>
    <row r="566">
      <c r="A566" s="9" t="n"/>
      <c r="D566" s="11" t="n"/>
    </row>
    <row r="567">
      <c r="A567" s="9" t="n"/>
      <c r="D567" s="11" t="n"/>
    </row>
    <row r="568">
      <c r="A568" s="9" t="n"/>
      <c r="D568" s="11" t="n"/>
    </row>
    <row r="569">
      <c r="A569" s="9" t="n"/>
      <c r="D569" s="11" t="n"/>
    </row>
    <row r="570">
      <c r="A570" s="9" t="n"/>
      <c r="D570" s="11" t="n"/>
    </row>
    <row r="571">
      <c r="A571" s="9" t="n"/>
      <c r="D571" s="11" t="n"/>
    </row>
    <row r="572">
      <c r="A572" s="9" t="n"/>
      <c r="D572" s="11" t="n"/>
    </row>
    <row r="573">
      <c r="A573" s="9" t="n"/>
      <c r="D573" s="11" t="n"/>
    </row>
    <row r="574">
      <c r="A574" s="9" t="n"/>
      <c r="D574" s="11" t="n"/>
    </row>
    <row r="575">
      <c r="A575" s="9" t="n"/>
      <c r="D575" s="11" t="n"/>
    </row>
    <row r="576">
      <c r="A576" s="9" t="n"/>
      <c r="D576" s="11" t="n"/>
    </row>
    <row r="577">
      <c r="A577" s="9" t="n"/>
      <c r="D577" s="11" t="n"/>
    </row>
    <row r="578">
      <c r="A578" s="9" t="n"/>
      <c r="D578" s="11" t="n"/>
    </row>
    <row r="579">
      <c r="A579" s="9" t="n"/>
      <c r="D579" s="11" t="n"/>
    </row>
    <row r="580">
      <c r="A580" s="9" t="n"/>
      <c r="D580" s="11" t="n"/>
    </row>
    <row r="581">
      <c r="A581" s="9" t="n"/>
      <c r="D581" s="11" t="n"/>
    </row>
    <row r="582">
      <c r="A582" s="9" t="n"/>
      <c r="D582" s="11" t="n"/>
    </row>
    <row r="583">
      <c r="A583" s="9" t="n"/>
      <c r="D583" s="11" t="n"/>
    </row>
    <row r="584">
      <c r="A584" s="9" t="n"/>
      <c r="D584" s="11" t="n"/>
    </row>
    <row r="585">
      <c r="A585" s="9" t="n"/>
      <c r="D585" s="11" t="n"/>
    </row>
    <row r="586">
      <c r="A586" s="9" t="n"/>
      <c r="D586" s="11" t="n"/>
    </row>
    <row r="587">
      <c r="A587" s="9" t="n"/>
      <c r="D587" s="11" t="n"/>
    </row>
    <row r="588">
      <c r="A588" s="9" t="n"/>
      <c r="D588" s="11" t="n"/>
    </row>
    <row r="589">
      <c r="A589" s="9" t="n"/>
      <c r="D589" s="11" t="n"/>
    </row>
    <row r="590">
      <c r="A590" s="9" t="n"/>
      <c r="D590" s="11" t="n"/>
    </row>
    <row r="591">
      <c r="A591" s="9" t="n"/>
      <c r="D591" s="11" t="n"/>
    </row>
    <row r="592">
      <c r="A592" s="9" t="n"/>
      <c r="D592" s="11" t="n"/>
    </row>
    <row r="593">
      <c r="A593" s="9" t="n"/>
      <c r="D593" s="11" t="n"/>
    </row>
    <row r="594">
      <c r="A594" s="9" t="n"/>
      <c r="D594" s="11" t="n"/>
    </row>
    <row r="595">
      <c r="A595" s="9" t="n"/>
      <c r="D595" s="11" t="n"/>
    </row>
    <row r="596">
      <c r="A596" s="9" t="n"/>
      <c r="D596" s="11" t="n"/>
    </row>
    <row r="597">
      <c r="A597" s="9" t="n"/>
      <c r="D597" s="11" t="n"/>
    </row>
    <row r="598">
      <c r="A598" s="9" t="n"/>
      <c r="D598" s="11" t="n"/>
    </row>
    <row r="599">
      <c r="A599" s="9" t="n"/>
      <c r="D599" s="11" t="n"/>
    </row>
    <row r="600">
      <c r="A600" s="9" t="n"/>
      <c r="D600" s="11" t="n"/>
    </row>
    <row r="601">
      <c r="A601" s="9" t="n"/>
      <c r="D601" s="11" t="n"/>
    </row>
    <row r="602">
      <c r="A602" s="9" t="n"/>
      <c r="D602" s="11" t="n"/>
    </row>
    <row r="603">
      <c r="A603" s="9" t="n"/>
      <c r="D603" s="11" t="n"/>
    </row>
    <row r="604">
      <c r="A604" s="9" t="n"/>
      <c r="D604" s="11" t="n"/>
    </row>
    <row r="605">
      <c r="A605" s="9" t="n"/>
      <c r="D605" s="11" t="n"/>
    </row>
    <row r="606">
      <c r="A606" s="9" t="n"/>
      <c r="D606" s="11" t="n"/>
    </row>
    <row r="607">
      <c r="A607" s="9" t="n"/>
      <c r="D607" s="11" t="n"/>
    </row>
    <row r="608">
      <c r="A608" s="9" t="n"/>
      <c r="D608" s="11" t="n"/>
    </row>
    <row r="609">
      <c r="A609" s="9" t="n"/>
      <c r="D609" s="11" t="n"/>
    </row>
    <row r="610">
      <c r="A610" s="9" t="n"/>
      <c r="D610" s="11" t="n"/>
    </row>
    <row r="611">
      <c r="A611" s="9" t="n"/>
      <c r="D611" s="11" t="n"/>
    </row>
    <row r="612">
      <c r="A612" s="9" t="n"/>
      <c r="D612" s="11" t="n"/>
    </row>
    <row r="613">
      <c r="A613" s="9" t="n"/>
      <c r="D613" s="11" t="n"/>
    </row>
    <row r="614">
      <c r="A614" s="9" t="n"/>
      <c r="D614" s="11" t="n"/>
    </row>
    <row r="615">
      <c r="A615" s="9" t="n"/>
      <c r="D615" s="11" t="n"/>
    </row>
    <row r="616">
      <c r="A616" s="9" t="n"/>
      <c r="D616" s="11" t="n"/>
    </row>
    <row r="617">
      <c r="A617" s="9" t="n"/>
      <c r="D617" s="11" t="n"/>
    </row>
    <row r="618">
      <c r="A618" s="9" t="n"/>
      <c r="D618" s="11" t="n"/>
    </row>
    <row r="619">
      <c r="A619" s="9" t="n"/>
      <c r="D619" s="11" t="n"/>
    </row>
    <row r="620">
      <c r="A620" s="9" t="n"/>
      <c r="D620" s="11" t="n"/>
    </row>
    <row r="621">
      <c r="A621" s="9" t="n"/>
      <c r="D621" s="11" t="n"/>
    </row>
    <row r="622">
      <c r="A622" s="9" t="n"/>
      <c r="D622" s="11" t="n"/>
    </row>
    <row r="623">
      <c r="A623" s="9" t="n"/>
      <c r="D623" s="11" t="n"/>
    </row>
    <row r="624">
      <c r="A624" s="9" t="n"/>
      <c r="D624" s="11" t="n"/>
    </row>
    <row r="625">
      <c r="A625" s="9" t="n"/>
      <c r="D625" s="11" t="n"/>
    </row>
    <row r="626">
      <c r="A626" s="9" t="n"/>
      <c r="D626" s="11" t="n"/>
    </row>
    <row r="627">
      <c r="A627" s="9" t="n"/>
      <c r="D627" s="11" t="n"/>
    </row>
    <row r="628">
      <c r="A628" s="9" t="n"/>
      <c r="D628" s="11" t="n"/>
    </row>
    <row r="629">
      <c r="A629" s="9" t="n"/>
      <c r="D629" s="11" t="n"/>
    </row>
    <row r="630">
      <c r="A630" s="9" t="n"/>
      <c r="D630" s="11" t="n"/>
    </row>
    <row r="631">
      <c r="A631" s="9" t="n"/>
      <c r="D631" s="11" t="n"/>
    </row>
    <row r="632">
      <c r="A632" s="9" t="n"/>
      <c r="D632" s="11" t="n"/>
    </row>
    <row r="633">
      <c r="A633" s="9" t="n"/>
      <c r="D633" s="11" t="n"/>
    </row>
    <row r="634">
      <c r="A634" s="9" t="n"/>
      <c r="D634" s="11" t="n"/>
    </row>
    <row r="635">
      <c r="A635" s="9" t="n"/>
      <c r="D635" s="11" t="n"/>
    </row>
    <row r="636">
      <c r="A636" s="9" t="n"/>
      <c r="D636" s="11" t="n"/>
    </row>
    <row r="637">
      <c r="A637" s="9" t="n"/>
      <c r="D637" s="11" t="n"/>
    </row>
    <row r="638">
      <c r="A638" s="9" t="n"/>
      <c r="D638" s="11" t="n"/>
    </row>
    <row r="639">
      <c r="A639" s="9" t="n"/>
      <c r="D639" s="11" t="n"/>
    </row>
    <row r="640">
      <c r="A640" s="9" t="n"/>
      <c r="D640" s="11" t="n"/>
    </row>
    <row r="641">
      <c r="A641" s="9" t="n"/>
      <c r="D641" s="11" t="n"/>
    </row>
    <row r="642">
      <c r="A642" s="9" t="n"/>
      <c r="D642" s="11" t="n"/>
    </row>
    <row r="643">
      <c r="A643" s="9" t="n"/>
      <c r="D643" s="11" t="n"/>
    </row>
    <row r="644">
      <c r="A644" s="9" t="n"/>
      <c r="D644" s="11" t="n"/>
    </row>
    <row r="645">
      <c r="A645" s="9" t="n"/>
      <c r="D645" s="11" t="n"/>
    </row>
    <row r="646">
      <c r="A646" s="9" t="n"/>
      <c r="D646" s="11" t="n"/>
    </row>
    <row r="647">
      <c r="A647" s="9" t="n"/>
      <c r="D647" s="11" t="n"/>
    </row>
    <row r="648">
      <c r="A648" s="9" t="n"/>
      <c r="D648" s="11" t="n"/>
    </row>
    <row r="649">
      <c r="A649" s="9" t="n"/>
      <c r="D649" s="11" t="n"/>
    </row>
    <row r="650">
      <c r="A650" s="9" t="n"/>
      <c r="D650" s="11" t="n"/>
    </row>
    <row r="651">
      <c r="A651" s="9" t="n"/>
      <c r="D651" s="11" t="n"/>
    </row>
    <row r="652">
      <c r="A652" s="9" t="n"/>
      <c r="D652" s="11" t="n"/>
    </row>
    <row r="653">
      <c r="A653" s="9" t="n"/>
      <c r="D653" s="11" t="n"/>
    </row>
    <row r="654">
      <c r="A654" s="9" t="n"/>
      <c r="D654" s="11" t="n"/>
    </row>
    <row r="655">
      <c r="A655" s="9" t="n"/>
      <c r="D655" s="11" t="n"/>
    </row>
    <row r="656">
      <c r="A656" s="9" t="n"/>
      <c r="D656" s="11" t="n"/>
    </row>
    <row r="657">
      <c r="A657" s="9" t="n"/>
      <c r="D657" s="11" t="n"/>
    </row>
    <row r="658">
      <c r="A658" s="9" t="n"/>
      <c r="D658" s="11" t="n"/>
    </row>
    <row r="659">
      <c r="A659" s="9" t="n"/>
      <c r="D659" s="11" t="n"/>
    </row>
    <row r="660">
      <c r="A660" s="9" t="n"/>
      <c r="D660" s="11" t="n"/>
    </row>
    <row r="661">
      <c r="A661" s="9" t="n"/>
      <c r="D661" s="11" t="n"/>
    </row>
    <row r="662">
      <c r="A662" s="9" t="n"/>
      <c r="D662" s="11" t="n"/>
    </row>
    <row r="663">
      <c r="A663" s="9" t="n"/>
      <c r="D663" s="11" t="n"/>
    </row>
    <row r="664">
      <c r="A664" s="9" t="n"/>
      <c r="D664" s="11" t="n"/>
    </row>
    <row r="665">
      <c r="A665" s="9" t="n"/>
      <c r="D665" s="11" t="n"/>
    </row>
    <row r="666">
      <c r="A666" s="9" t="n"/>
      <c r="D666" s="11" t="n"/>
    </row>
    <row r="667">
      <c r="A667" s="9" t="n"/>
      <c r="D667" s="11" t="n"/>
    </row>
    <row r="668">
      <c r="A668" s="9" t="n"/>
      <c r="D668" s="11" t="n"/>
    </row>
    <row r="669">
      <c r="A669" s="9" t="n"/>
      <c r="D669" s="11" t="n"/>
    </row>
    <row r="670">
      <c r="A670" s="9" t="n"/>
      <c r="D670" s="11" t="n"/>
    </row>
    <row r="671">
      <c r="A671" s="9" t="n"/>
      <c r="D671" s="11" t="n"/>
    </row>
    <row r="672">
      <c r="A672" s="9" t="n"/>
      <c r="D672" s="11" t="n"/>
    </row>
    <row r="673">
      <c r="A673" s="9" t="n"/>
      <c r="D673" s="11" t="n"/>
    </row>
    <row r="674">
      <c r="A674" s="9" t="n"/>
      <c r="D674" s="11" t="n"/>
    </row>
    <row r="675">
      <c r="A675" s="9" t="n"/>
      <c r="D675" s="11" t="n"/>
    </row>
    <row r="676">
      <c r="A676" s="9" t="n"/>
      <c r="D676" s="11" t="n"/>
    </row>
    <row r="677">
      <c r="A677" s="9" t="n"/>
      <c r="D677" s="11" t="n"/>
    </row>
    <row r="678">
      <c r="A678" s="9" t="n"/>
      <c r="D678" s="11" t="n"/>
    </row>
    <row r="679">
      <c r="A679" s="9" t="n"/>
      <c r="D679" s="11" t="n"/>
    </row>
    <row r="680">
      <c r="A680" s="9" t="n"/>
      <c r="D680" s="11" t="n"/>
    </row>
    <row r="681">
      <c r="A681" s="9" t="n"/>
      <c r="D681" s="11" t="n"/>
    </row>
    <row r="682">
      <c r="A682" s="9" t="n"/>
      <c r="D682" s="11" t="n"/>
    </row>
    <row r="683">
      <c r="A683" s="9" t="n"/>
      <c r="D683" s="11" t="n"/>
    </row>
    <row r="684">
      <c r="A684" s="9" t="n"/>
      <c r="D684" s="11" t="n"/>
    </row>
    <row r="685">
      <c r="A685" s="9" t="n"/>
      <c r="D685" s="11" t="n"/>
    </row>
    <row r="686">
      <c r="A686" s="9" t="n"/>
      <c r="D686" s="11" t="n"/>
    </row>
    <row r="687">
      <c r="A687" s="9" t="n"/>
      <c r="D687" s="11" t="n"/>
    </row>
    <row r="688">
      <c r="A688" s="9" t="n"/>
      <c r="D688" s="11" t="n"/>
    </row>
    <row r="689">
      <c r="A689" s="9" t="n"/>
      <c r="D689" s="11" t="n"/>
    </row>
    <row r="690">
      <c r="A690" s="9" t="n"/>
      <c r="D690" s="11" t="n"/>
    </row>
    <row r="691">
      <c r="A691" s="9" t="n"/>
      <c r="D691" s="11" t="n"/>
    </row>
    <row r="692">
      <c r="A692" s="9" t="n"/>
      <c r="D692" s="11" t="n"/>
    </row>
    <row r="693">
      <c r="A693" s="9" t="n"/>
      <c r="D693" s="11" t="n"/>
    </row>
    <row r="694">
      <c r="A694" s="9" t="n"/>
      <c r="D694" s="11" t="n"/>
    </row>
    <row r="695">
      <c r="A695" s="9" t="n"/>
      <c r="D695" s="11" t="n"/>
    </row>
    <row r="696">
      <c r="A696" s="9" t="n"/>
      <c r="D696" s="11" t="n"/>
    </row>
    <row r="697">
      <c r="A697" s="9" t="n"/>
      <c r="D697" s="11" t="n"/>
    </row>
    <row r="698">
      <c r="A698" s="9" t="n"/>
      <c r="D698" s="11" t="n"/>
    </row>
    <row r="699">
      <c r="A699" s="9" t="n"/>
      <c r="D699" s="11" t="n"/>
    </row>
    <row r="700">
      <c r="A700" s="9" t="n"/>
      <c r="D700" s="11" t="n"/>
    </row>
    <row r="701">
      <c r="A701" s="9" t="n"/>
      <c r="D701" s="11" t="n"/>
    </row>
    <row r="702">
      <c r="A702" s="9" t="n"/>
      <c r="D702" s="11" t="n"/>
    </row>
    <row r="703">
      <c r="A703" s="9" t="n"/>
      <c r="D703" s="11" t="n"/>
    </row>
    <row r="704">
      <c r="A704" s="9" t="n"/>
      <c r="D704" s="11" t="n"/>
    </row>
    <row r="705">
      <c r="A705" s="9" t="n"/>
      <c r="D705" s="11" t="n"/>
    </row>
    <row r="706">
      <c r="A706" s="9" t="n"/>
      <c r="D706" s="11" t="n"/>
    </row>
    <row r="707">
      <c r="A707" s="9" t="n"/>
      <c r="D707" s="11" t="n"/>
    </row>
    <row r="708">
      <c r="A708" s="9" t="n"/>
      <c r="D708" s="11" t="n"/>
    </row>
    <row r="709">
      <c r="A709" s="9" t="n"/>
      <c r="D709" s="11" t="n"/>
    </row>
    <row r="710">
      <c r="A710" s="9" t="n"/>
      <c r="D710" s="11" t="n"/>
    </row>
    <row r="711">
      <c r="A711" s="9" t="n"/>
      <c r="D711" s="11" t="n"/>
    </row>
    <row r="712">
      <c r="A712" s="9" t="n"/>
      <c r="D712" s="11" t="n"/>
    </row>
    <row r="713">
      <c r="A713" s="9" t="n"/>
      <c r="D713" s="11" t="n"/>
    </row>
    <row r="714">
      <c r="A714" s="9" t="n"/>
      <c r="D714" s="11" t="n"/>
    </row>
    <row r="715">
      <c r="A715" s="9" t="n"/>
      <c r="D715" s="11" t="n"/>
    </row>
    <row r="716">
      <c r="A716" s="9" t="n"/>
      <c r="D716" s="11" t="n"/>
    </row>
    <row r="717">
      <c r="A717" s="9" t="n"/>
      <c r="D717" s="11" t="n"/>
    </row>
    <row r="718">
      <c r="A718" s="9" t="n"/>
      <c r="D718" s="11" t="n"/>
    </row>
    <row r="719">
      <c r="A719" s="9" t="n"/>
      <c r="D719" s="11" t="n"/>
    </row>
    <row r="720">
      <c r="A720" s="9" t="n"/>
      <c r="D720" s="11" t="n"/>
    </row>
    <row r="721">
      <c r="A721" s="9" t="n"/>
      <c r="D721" s="11" t="n"/>
    </row>
    <row r="722">
      <c r="A722" s="9" t="n"/>
      <c r="D722" s="11" t="n"/>
    </row>
    <row r="723">
      <c r="A723" s="9" t="n"/>
      <c r="D723" s="11" t="n"/>
    </row>
    <row r="724">
      <c r="A724" s="9" t="n"/>
      <c r="D724" s="11" t="n"/>
    </row>
    <row r="725">
      <c r="A725" s="9" t="n"/>
      <c r="D725" s="11" t="n"/>
    </row>
    <row r="726">
      <c r="A726" s="9" t="n"/>
      <c r="D726" s="11" t="n"/>
    </row>
    <row r="727">
      <c r="A727" s="9" t="n"/>
      <c r="D727" s="11" t="n"/>
    </row>
    <row r="728">
      <c r="A728" s="9" t="n"/>
      <c r="D728" s="11" t="n"/>
    </row>
    <row r="729">
      <c r="A729" s="9" t="n"/>
      <c r="D729" s="11" t="n"/>
    </row>
    <row r="730">
      <c r="A730" s="9" t="n"/>
      <c r="D730" s="11" t="n"/>
    </row>
    <row r="731">
      <c r="A731" s="9" t="n"/>
      <c r="D731" s="11" t="n"/>
    </row>
    <row r="732">
      <c r="A732" s="9" t="n"/>
      <c r="D732" s="11" t="n"/>
    </row>
    <row r="733">
      <c r="A733" s="9" t="n"/>
      <c r="D733" s="11" t="n"/>
    </row>
    <row r="734">
      <c r="A734" s="9" t="n"/>
      <c r="D734" s="11" t="n"/>
    </row>
    <row r="735">
      <c r="A735" s="9" t="n"/>
      <c r="D735" s="11" t="n"/>
    </row>
    <row r="736">
      <c r="A736" s="9" t="n"/>
      <c r="D736" s="11" t="n"/>
    </row>
    <row r="737">
      <c r="A737" s="9" t="n"/>
      <c r="D737" s="11" t="n"/>
    </row>
    <row r="738">
      <c r="A738" s="9" t="n"/>
      <c r="D738" s="11" t="n"/>
    </row>
    <row r="739">
      <c r="A739" s="9" t="n"/>
      <c r="D739" s="11" t="n"/>
    </row>
    <row r="740">
      <c r="A740" s="9" t="n"/>
      <c r="D740" s="11" t="n"/>
    </row>
    <row r="741">
      <c r="A741" s="9" t="n"/>
      <c r="D741" s="11" t="n"/>
    </row>
    <row r="742">
      <c r="A742" s="9" t="n"/>
      <c r="D742" s="11" t="n"/>
    </row>
    <row r="743">
      <c r="A743" s="9" t="n"/>
      <c r="D743" s="11" t="n"/>
    </row>
    <row r="744">
      <c r="A744" s="9" t="n"/>
      <c r="D744" s="11" t="n"/>
    </row>
    <row r="745">
      <c r="A745" s="9" t="n"/>
      <c r="D745" s="11" t="n"/>
    </row>
    <row r="746">
      <c r="A746" s="9" t="n"/>
      <c r="D746" s="11" t="n"/>
    </row>
    <row r="747">
      <c r="A747" s="9" t="n"/>
      <c r="D747" s="11" t="n"/>
    </row>
    <row r="748">
      <c r="A748" s="9" t="n"/>
      <c r="D748" s="11" t="n"/>
    </row>
    <row r="749">
      <c r="A749" s="9" t="n"/>
      <c r="D749" s="11" t="n"/>
    </row>
    <row r="750">
      <c r="A750" s="9" t="n"/>
      <c r="D750" s="11" t="n"/>
    </row>
    <row r="751">
      <c r="A751" s="9" t="n"/>
      <c r="D751" s="11" t="n"/>
    </row>
    <row r="752">
      <c r="A752" s="9" t="n"/>
      <c r="D752" s="11" t="n"/>
    </row>
    <row r="753">
      <c r="A753" s="9" t="n"/>
      <c r="D753" s="11" t="n"/>
    </row>
    <row r="754">
      <c r="A754" s="9" t="n"/>
      <c r="D754" s="11" t="n"/>
    </row>
    <row r="755">
      <c r="A755" s="9" t="n"/>
      <c r="D755" s="11" t="n"/>
    </row>
    <row r="756">
      <c r="A756" s="9" t="n"/>
      <c r="D756" s="11" t="n"/>
    </row>
    <row r="757">
      <c r="A757" s="9" t="n"/>
      <c r="D757" s="11" t="n"/>
    </row>
    <row r="758">
      <c r="A758" s="9" t="n"/>
      <c r="D758" s="11" t="n"/>
    </row>
    <row r="759">
      <c r="A759" s="9" t="n"/>
      <c r="D759" s="11" t="n"/>
    </row>
    <row r="760">
      <c r="A760" s="9" t="n"/>
      <c r="D760" s="11" t="n"/>
    </row>
    <row r="761">
      <c r="A761" s="9" t="n"/>
      <c r="D761" s="11" t="n"/>
    </row>
    <row r="762">
      <c r="A762" s="9" t="n"/>
      <c r="D762" s="11" t="n"/>
    </row>
    <row r="763">
      <c r="A763" s="9" t="n"/>
      <c r="D763" s="11" t="n"/>
    </row>
    <row r="764">
      <c r="A764" s="9" t="n"/>
      <c r="D764" s="11" t="n"/>
    </row>
    <row r="765">
      <c r="A765" s="9" t="n"/>
      <c r="D765" s="11" t="n"/>
    </row>
    <row r="766">
      <c r="A766" s="9" t="n"/>
      <c r="D766" s="11" t="n"/>
    </row>
    <row r="767">
      <c r="A767" s="9" t="n"/>
      <c r="D767" s="11" t="n"/>
    </row>
    <row r="768">
      <c r="A768" s="9" t="n"/>
      <c r="D768" s="11" t="n"/>
    </row>
    <row r="769">
      <c r="A769" s="9" t="n"/>
      <c r="D769" s="11" t="n"/>
    </row>
    <row r="770">
      <c r="A770" s="9" t="n"/>
      <c r="D770" s="11" t="n"/>
    </row>
    <row r="771">
      <c r="A771" s="9" t="n"/>
      <c r="D771" s="11" t="n"/>
    </row>
    <row r="772">
      <c r="A772" s="9" t="n"/>
      <c r="D772" s="11" t="n"/>
    </row>
    <row r="773">
      <c r="A773" s="9" t="n"/>
      <c r="D773" s="11" t="n"/>
    </row>
    <row r="774">
      <c r="A774" s="9" t="n"/>
      <c r="D774" s="11" t="n"/>
    </row>
    <row r="775">
      <c r="A775" s="9" t="n"/>
      <c r="D775" s="11" t="n"/>
    </row>
    <row r="776">
      <c r="A776" s="9" t="n"/>
      <c r="D776" s="11" t="n"/>
    </row>
    <row r="777">
      <c r="A777" s="9" t="n"/>
      <c r="D777" s="11" t="n"/>
    </row>
    <row r="778">
      <c r="A778" s="9" t="n"/>
      <c r="D778" s="11" t="n"/>
    </row>
    <row r="779">
      <c r="A779" s="9" t="n"/>
      <c r="D779" s="11" t="n"/>
    </row>
    <row r="780">
      <c r="A780" s="9" t="n"/>
      <c r="D780" s="11" t="n"/>
    </row>
    <row r="781">
      <c r="A781" s="9" t="n"/>
      <c r="D781" s="11" t="n"/>
    </row>
    <row r="782">
      <c r="A782" s="9" t="n"/>
      <c r="D782" s="11" t="n"/>
    </row>
    <row r="783">
      <c r="A783" s="9" t="n"/>
      <c r="D783" s="11" t="n"/>
    </row>
    <row r="784">
      <c r="A784" s="9" t="n"/>
      <c r="D784" s="11" t="n"/>
    </row>
    <row r="785">
      <c r="A785" s="9" t="n"/>
      <c r="D785" s="11" t="n"/>
    </row>
    <row r="786">
      <c r="A786" s="9" t="n"/>
      <c r="D786" s="11" t="n"/>
    </row>
    <row r="787">
      <c r="A787" s="9" t="n"/>
      <c r="D787" s="11" t="n"/>
    </row>
    <row r="788">
      <c r="A788" s="9" t="n"/>
      <c r="D788" s="11" t="n"/>
    </row>
    <row r="789">
      <c r="A789" s="9" t="n"/>
      <c r="D789" s="11" t="n"/>
    </row>
    <row r="790">
      <c r="A790" s="9" t="n"/>
      <c r="D790" s="11" t="n"/>
    </row>
    <row r="791">
      <c r="A791" s="9" t="n"/>
      <c r="D791" s="11" t="n"/>
    </row>
    <row r="792">
      <c r="A792" s="9" t="n"/>
      <c r="D792" s="11" t="n"/>
    </row>
    <row r="793">
      <c r="A793" s="9" t="n"/>
      <c r="D793" s="11" t="n"/>
    </row>
    <row r="794">
      <c r="A794" s="9" t="n"/>
      <c r="D794" s="11" t="n"/>
    </row>
    <row r="795">
      <c r="A795" s="9" t="n"/>
      <c r="D795" s="11" t="n"/>
    </row>
    <row r="796">
      <c r="A796" s="9" t="n"/>
      <c r="D796" s="11" t="n"/>
    </row>
    <row r="797">
      <c r="A797" s="9" t="n"/>
      <c r="D797" s="11" t="n"/>
    </row>
    <row r="798">
      <c r="A798" s="9" t="n"/>
      <c r="D798" s="11" t="n"/>
    </row>
    <row r="799">
      <c r="A799" s="9" t="n"/>
      <c r="D799" s="11" t="n"/>
    </row>
    <row r="800">
      <c r="A800" s="9" t="n"/>
      <c r="D800" s="11" t="n"/>
    </row>
    <row r="801">
      <c r="A801" s="9" t="n"/>
      <c r="D801" s="11" t="n"/>
    </row>
    <row r="802">
      <c r="A802" s="9" t="n"/>
      <c r="D802" s="11" t="n"/>
    </row>
    <row r="803">
      <c r="A803" s="9" t="n"/>
      <c r="D803" s="11" t="n"/>
    </row>
    <row r="804">
      <c r="A804" s="9" t="n"/>
      <c r="D804" s="11" t="n"/>
    </row>
    <row r="805">
      <c r="A805" s="9" t="n"/>
      <c r="D805" s="11" t="n"/>
    </row>
    <row r="806">
      <c r="A806" s="9" t="n"/>
      <c r="D806" s="11" t="n"/>
    </row>
    <row r="807">
      <c r="A807" s="9" t="n"/>
      <c r="D807" s="11" t="n"/>
    </row>
    <row r="808">
      <c r="A808" s="9" t="n"/>
      <c r="D808" s="11" t="n"/>
    </row>
    <row r="809">
      <c r="A809" s="9" t="n"/>
      <c r="D809" s="11" t="n"/>
    </row>
    <row r="810">
      <c r="A810" s="9" t="n"/>
      <c r="D810" s="11" t="n"/>
    </row>
    <row r="811">
      <c r="A811" s="9" t="n"/>
      <c r="D811" s="11" t="n"/>
    </row>
    <row r="812">
      <c r="A812" s="9" t="n"/>
      <c r="D812" s="11" t="n"/>
    </row>
    <row r="813">
      <c r="A813" s="9" t="n"/>
      <c r="D813" s="11" t="n"/>
    </row>
    <row r="814">
      <c r="A814" s="9" t="n"/>
      <c r="D814" s="11" t="n"/>
    </row>
    <row r="815">
      <c r="A815" s="9" t="n"/>
      <c r="D815" s="11" t="n"/>
    </row>
    <row r="816">
      <c r="A816" s="9" t="n"/>
      <c r="D816" s="11" t="n"/>
    </row>
    <row r="817">
      <c r="A817" s="9" t="n"/>
      <c r="D817" s="11" t="n"/>
    </row>
    <row r="818">
      <c r="A818" s="9" t="n"/>
      <c r="D818" s="11" t="n"/>
    </row>
    <row r="819">
      <c r="A819" s="9" t="n"/>
      <c r="D819" s="11" t="n"/>
    </row>
    <row r="820">
      <c r="A820" s="9" t="n"/>
      <c r="D820" s="11" t="n"/>
    </row>
    <row r="821">
      <c r="A821" s="9" t="n"/>
      <c r="D821" s="11" t="n"/>
    </row>
    <row r="822">
      <c r="A822" s="9" t="n"/>
      <c r="D822" s="11" t="n"/>
    </row>
    <row r="823">
      <c r="A823" s="9" t="n"/>
      <c r="D823" s="11" t="n"/>
    </row>
    <row r="824">
      <c r="A824" s="9" t="n"/>
      <c r="D824" s="11" t="n"/>
    </row>
    <row r="825">
      <c r="A825" s="9" t="n"/>
      <c r="D825" s="11" t="n"/>
    </row>
    <row r="826">
      <c r="A826" s="9" t="n"/>
      <c r="D826" s="11" t="n"/>
    </row>
    <row r="827">
      <c r="A827" s="9" t="n"/>
      <c r="D827" s="11" t="n"/>
    </row>
    <row r="828">
      <c r="A828" s="9" t="n"/>
      <c r="D828" s="11" t="n"/>
    </row>
    <row r="829">
      <c r="A829" s="9" t="n"/>
      <c r="D829" s="11" t="n"/>
    </row>
    <row r="830">
      <c r="A830" s="9" t="n"/>
      <c r="D830" s="11" t="n"/>
    </row>
    <row r="831">
      <c r="A831" s="9" t="n"/>
      <c r="D831" s="11" t="n"/>
    </row>
    <row r="832">
      <c r="A832" s="9" t="n"/>
      <c r="D832" s="11" t="n"/>
    </row>
    <row r="833">
      <c r="A833" s="9" t="n"/>
      <c r="D833" s="11" t="n"/>
    </row>
    <row r="834">
      <c r="A834" s="9" t="n"/>
      <c r="D834" s="11" t="n"/>
    </row>
    <row r="835">
      <c r="A835" s="9" t="n"/>
      <c r="D835" s="11" t="n"/>
    </row>
    <row r="836">
      <c r="A836" s="9" t="n"/>
      <c r="D836" s="11" t="n"/>
    </row>
    <row r="837">
      <c r="A837" s="9" t="n"/>
      <c r="D837" s="11" t="n"/>
    </row>
    <row r="838">
      <c r="A838" s="9" t="n"/>
      <c r="D838" s="11" t="n"/>
    </row>
    <row r="839">
      <c r="A839" s="9" t="n"/>
      <c r="D839" s="11" t="n"/>
    </row>
    <row r="840">
      <c r="A840" s="9" t="n"/>
      <c r="D840" s="11" t="n"/>
    </row>
    <row r="841">
      <c r="A841" s="9" t="n"/>
      <c r="D841" s="11" t="n"/>
    </row>
    <row r="842">
      <c r="A842" s="9" t="n"/>
      <c r="D842" s="11" t="n"/>
    </row>
    <row r="843">
      <c r="A843" s="9" t="n"/>
      <c r="D843" s="11" t="n"/>
    </row>
    <row r="844">
      <c r="A844" s="9" t="n"/>
      <c r="D844" s="11" t="n"/>
    </row>
    <row r="845">
      <c r="A845" s="9" t="n"/>
      <c r="D845" s="11" t="n"/>
    </row>
    <row r="846">
      <c r="A846" s="9" t="n"/>
      <c r="D846" s="11" t="n"/>
    </row>
    <row r="847">
      <c r="A847" s="9" t="n"/>
      <c r="D847" s="11" t="n"/>
    </row>
    <row r="848">
      <c r="A848" s="9" t="n"/>
      <c r="D848" s="11" t="n"/>
    </row>
    <row r="849">
      <c r="A849" s="9" t="n"/>
      <c r="D849" s="11" t="n"/>
    </row>
    <row r="850">
      <c r="A850" s="9" t="n"/>
      <c r="D850" s="11" t="n"/>
    </row>
    <row r="851">
      <c r="A851" s="9" t="n"/>
      <c r="D851" s="11" t="n"/>
    </row>
    <row r="852">
      <c r="A852" s="9" t="n"/>
      <c r="D852" s="11" t="n"/>
    </row>
    <row r="853">
      <c r="A853" s="9" t="n"/>
      <c r="D853" s="11" t="n"/>
    </row>
    <row r="854">
      <c r="A854" s="9" t="n"/>
      <c r="D854" s="11" t="n"/>
    </row>
    <row r="855">
      <c r="A855" s="9" t="n"/>
      <c r="D855" s="11" t="n"/>
    </row>
    <row r="856">
      <c r="A856" s="9" t="n"/>
      <c r="D856" s="11" t="n"/>
    </row>
    <row r="857">
      <c r="A857" s="9" t="n"/>
      <c r="D857" s="11" t="n"/>
    </row>
    <row r="858">
      <c r="A858" s="9" t="n"/>
      <c r="D858" s="11" t="n"/>
    </row>
    <row r="859">
      <c r="A859" s="9" t="n"/>
      <c r="D859" s="11" t="n"/>
    </row>
    <row r="860">
      <c r="A860" s="9" t="n"/>
      <c r="D860" s="11" t="n"/>
    </row>
    <row r="861">
      <c r="A861" s="9" t="n"/>
      <c r="D861" s="11" t="n"/>
    </row>
    <row r="862">
      <c r="A862" s="9" t="n"/>
      <c r="D862" s="11" t="n"/>
    </row>
    <row r="863">
      <c r="A863" s="9" t="n"/>
      <c r="D863" s="11" t="n"/>
    </row>
    <row r="864">
      <c r="A864" s="9" t="n"/>
      <c r="D864" s="11" t="n"/>
    </row>
    <row r="865">
      <c r="A865" s="9" t="n"/>
      <c r="D865" s="11" t="n"/>
    </row>
    <row r="866">
      <c r="A866" s="9" t="n"/>
      <c r="D866" s="11" t="n"/>
    </row>
    <row r="867">
      <c r="A867" s="9" t="n"/>
      <c r="D867" s="11" t="n"/>
    </row>
    <row r="868">
      <c r="A868" s="9" t="n"/>
      <c r="D868" s="11" t="n"/>
    </row>
    <row r="869">
      <c r="A869" s="9" t="n"/>
      <c r="D869" s="11" t="n"/>
    </row>
    <row r="870">
      <c r="A870" s="9" t="n"/>
      <c r="D870" s="11" t="n"/>
    </row>
    <row r="871">
      <c r="A871" s="9" t="n"/>
      <c r="D871" s="11" t="n"/>
    </row>
    <row r="872">
      <c r="A872" s="9" t="n"/>
      <c r="D872" s="11" t="n"/>
    </row>
    <row r="873">
      <c r="A873" s="9" t="n"/>
      <c r="D873" s="11" t="n"/>
    </row>
    <row r="874">
      <c r="A874" s="9" t="n"/>
      <c r="D874" s="11" t="n"/>
    </row>
    <row r="875">
      <c r="A875" s="9" t="n"/>
      <c r="D875" s="11" t="n"/>
    </row>
    <row r="876">
      <c r="A876" s="9" t="n"/>
      <c r="D876" s="11" t="n"/>
    </row>
    <row r="877">
      <c r="A877" s="9" t="n"/>
      <c r="D877" s="11" t="n"/>
    </row>
    <row r="878">
      <c r="A878" s="9" t="n"/>
      <c r="D878" s="11" t="n"/>
    </row>
    <row r="879">
      <c r="A879" s="9" t="n"/>
      <c r="D879" s="11" t="n"/>
    </row>
    <row r="880">
      <c r="A880" s="9" t="n"/>
      <c r="D880" s="11" t="n"/>
    </row>
    <row r="881">
      <c r="A881" s="9" t="n"/>
      <c r="D881" s="11" t="n"/>
    </row>
    <row r="882">
      <c r="A882" s="9" t="n"/>
      <c r="D882" s="11" t="n"/>
    </row>
    <row r="883">
      <c r="A883" s="9" t="n"/>
      <c r="D883" s="11" t="n"/>
    </row>
    <row r="884">
      <c r="A884" s="9" t="n"/>
      <c r="D884" s="11" t="n"/>
    </row>
    <row r="885">
      <c r="A885" s="9" t="n"/>
      <c r="D885" s="11" t="n"/>
    </row>
    <row r="886">
      <c r="A886" s="9" t="n"/>
      <c r="D886" s="11" t="n"/>
    </row>
    <row r="887">
      <c r="A887" s="9" t="n"/>
      <c r="D887" s="11" t="n"/>
    </row>
    <row r="888">
      <c r="A888" s="9" t="n"/>
      <c r="D888" s="11" t="n"/>
    </row>
    <row r="889">
      <c r="A889" s="9" t="n"/>
      <c r="D889" s="11" t="n"/>
    </row>
    <row r="890">
      <c r="A890" s="9" t="n"/>
      <c r="D890" s="11" t="n"/>
    </row>
    <row r="891">
      <c r="A891" s="9" t="n"/>
      <c r="D891" s="11" t="n"/>
    </row>
    <row r="892">
      <c r="A892" s="9" t="n"/>
      <c r="D892" s="11" t="n"/>
    </row>
    <row r="893">
      <c r="A893" s="9" t="n"/>
      <c r="D893" s="11" t="n"/>
    </row>
    <row r="894">
      <c r="A894" s="9" t="n"/>
      <c r="D894" s="11" t="n"/>
    </row>
    <row r="895">
      <c r="A895" s="9" t="n"/>
      <c r="D895" s="11" t="n"/>
    </row>
    <row r="896">
      <c r="A896" s="9" t="n"/>
      <c r="D896" s="11" t="n"/>
    </row>
    <row r="897">
      <c r="A897" s="9" t="n"/>
      <c r="D897" s="11" t="n"/>
    </row>
    <row r="898">
      <c r="A898" s="9" t="n"/>
      <c r="D898" s="11" t="n"/>
    </row>
    <row r="899">
      <c r="A899" s="9" t="n"/>
      <c r="D899" s="11" t="n"/>
    </row>
    <row r="900">
      <c r="A900" s="9" t="n"/>
      <c r="D900" s="11" t="n"/>
    </row>
    <row r="901">
      <c r="A901" s="9" t="n"/>
      <c r="D901" s="11" t="n"/>
    </row>
    <row r="902">
      <c r="A902" s="9" t="n"/>
      <c r="D902" s="11" t="n"/>
    </row>
    <row r="903">
      <c r="A903" s="9" t="n"/>
      <c r="D903" s="11" t="n"/>
    </row>
    <row r="904">
      <c r="A904" s="9" t="n"/>
      <c r="D904" s="11" t="n"/>
    </row>
    <row r="905">
      <c r="A905" s="9" t="n"/>
      <c r="D905" s="11" t="n"/>
    </row>
    <row r="906">
      <c r="A906" s="9" t="n"/>
      <c r="D906" s="11" t="n"/>
    </row>
    <row r="907">
      <c r="A907" s="9" t="n"/>
      <c r="D907" s="11" t="n"/>
    </row>
    <row r="908">
      <c r="A908" s="9" t="n"/>
      <c r="D908" s="11" t="n"/>
    </row>
    <row r="909">
      <c r="A909" s="9" t="n"/>
      <c r="D909" s="11" t="n"/>
    </row>
    <row r="910">
      <c r="A910" s="9" t="n"/>
      <c r="D910" s="11" t="n"/>
    </row>
    <row r="911">
      <c r="A911" s="9" t="n"/>
      <c r="D911" s="11" t="n"/>
    </row>
    <row r="912">
      <c r="A912" s="9" t="n"/>
      <c r="D912" s="11" t="n"/>
    </row>
    <row r="913">
      <c r="A913" s="9" t="n"/>
      <c r="D913" s="11" t="n"/>
    </row>
    <row r="914">
      <c r="A914" s="9" t="n"/>
      <c r="D914" s="11" t="n"/>
    </row>
    <row r="915">
      <c r="A915" s="9" t="n"/>
      <c r="D915" s="11" t="n"/>
    </row>
    <row r="916">
      <c r="A916" s="9" t="n"/>
      <c r="D916" s="11" t="n"/>
    </row>
    <row r="917">
      <c r="A917" s="9" t="n"/>
      <c r="D917" s="11" t="n"/>
    </row>
    <row r="918">
      <c r="A918" s="9" t="n"/>
      <c r="D918" s="11" t="n"/>
    </row>
    <row r="919">
      <c r="A919" s="9" t="n"/>
      <c r="D919" s="11" t="n"/>
    </row>
    <row r="920">
      <c r="A920" s="9" t="n"/>
      <c r="D920" s="11" t="n"/>
    </row>
    <row r="921">
      <c r="A921" s="9" t="n"/>
      <c r="D921" s="11" t="n"/>
    </row>
    <row r="922">
      <c r="A922" s="9" t="n"/>
      <c r="D922" s="11" t="n"/>
    </row>
    <row r="923">
      <c r="A923" s="9" t="n"/>
      <c r="D923" s="11" t="n"/>
    </row>
    <row r="924">
      <c r="A924" s="9" t="n"/>
      <c r="D924" s="11" t="n"/>
    </row>
    <row r="925">
      <c r="A925" s="9" t="n"/>
      <c r="D925" s="11" t="n"/>
    </row>
    <row r="926">
      <c r="A926" s="9" t="n"/>
      <c r="D926" s="11" t="n"/>
    </row>
    <row r="927">
      <c r="A927" s="9" t="n"/>
      <c r="D927" s="11" t="n"/>
    </row>
    <row r="928">
      <c r="A928" s="9" t="n"/>
      <c r="D928" s="11" t="n"/>
    </row>
    <row r="929">
      <c r="A929" s="9" t="n"/>
      <c r="D929" s="11" t="n"/>
    </row>
    <row r="930">
      <c r="A930" s="9" t="n"/>
      <c r="D930" s="11" t="n"/>
    </row>
    <row r="931">
      <c r="A931" s="9" t="n"/>
      <c r="D931" s="11" t="n"/>
    </row>
    <row r="932">
      <c r="A932" s="9" t="n"/>
      <c r="D932" s="11" t="n"/>
    </row>
    <row r="933">
      <c r="A933" s="9" t="n"/>
      <c r="D933" s="11" t="n"/>
    </row>
    <row r="934">
      <c r="A934" s="9" t="n"/>
      <c r="D934" s="11" t="n"/>
    </row>
    <row r="935">
      <c r="A935" s="9" t="n"/>
      <c r="D935" s="11" t="n"/>
    </row>
    <row r="936">
      <c r="A936" s="9" t="n"/>
      <c r="D936" s="11" t="n"/>
    </row>
    <row r="937">
      <c r="A937" s="9" t="n"/>
      <c r="D937" s="11" t="n"/>
    </row>
    <row r="938">
      <c r="A938" s="9" t="n"/>
      <c r="D938" s="11" t="n"/>
    </row>
    <row r="939">
      <c r="A939" s="9" t="n"/>
      <c r="D939" s="11" t="n"/>
    </row>
    <row r="940">
      <c r="A940" s="9" t="n"/>
      <c r="D940" s="11" t="n"/>
    </row>
    <row r="941">
      <c r="A941" s="9" t="n"/>
      <c r="D941" s="11" t="n"/>
    </row>
    <row r="942">
      <c r="A942" s="9" t="n"/>
      <c r="D942" s="11" t="n"/>
    </row>
    <row r="943">
      <c r="A943" s="9" t="n"/>
      <c r="D943" s="11" t="n"/>
    </row>
    <row r="944">
      <c r="A944" s="9" t="n"/>
      <c r="D944" s="11" t="n"/>
    </row>
    <row r="945">
      <c r="A945" s="9" t="n"/>
      <c r="D945" s="11" t="n"/>
    </row>
    <row r="946">
      <c r="A946" s="9" t="n"/>
      <c r="D946" s="11" t="n"/>
    </row>
    <row r="947">
      <c r="A947" s="9" t="n"/>
      <c r="D947" s="11" t="n"/>
    </row>
    <row r="948">
      <c r="A948" s="9" t="n"/>
      <c r="D948" s="11" t="n"/>
    </row>
    <row r="949">
      <c r="A949" s="9" t="n"/>
      <c r="D949" s="11" t="n"/>
    </row>
    <row r="950">
      <c r="A950" s="9" t="n"/>
      <c r="D950" s="11" t="n"/>
    </row>
    <row r="951">
      <c r="A951" s="9" t="n"/>
      <c r="D951" s="11" t="n"/>
    </row>
    <row r="952">
      <c r="A952" s="9" t="n"/>
      <c r="D952" s="11" t="n"/>
    </row>
    <row r="953">
      <c r="A953" s="9" t="n"/>
      <c r="D953" s="11" t="n"/>
    </row>
    <row r="954">
      <c r="A954" s="9" t="n"/>
      <c r="D954" s="11" t="n"/>
    </row>
    <row r="955">
      <c r="A955" s="9" t="n"/>
      <c r="D955" s="11" t="n"/>
    </row>
    <row r="956">
      <c r="A956" s="9" t="n"/>
      <c r="D956" s="11" t="n"/>
    </row>
    <row r="957">
      <c r="A957" s="9" t="n"/>
      <c r="D957" s="11" t="n"/>
    </row>
    <row r="958">
      <c r="A958" s="9" t="n"/>
      <c r="D958" s="11" t="n"/>
    </row>
    <row r="959">
      <c r="A959" s="9" t="n"/>
      <c r="D959" s="11" t="n"/>
    </row>
    <row r="960">
      <c r="A960" s="9" t="n"/>
      <c r="D960" s="11" t="n"/>
    </row>
    <row r="961">
      <c r="A961" s="9" t="n"/>
      <c r="D961" s="11" t="n"/>
    </row>
    <row r="962">
      <c r="A962" s="9" t="n"/>
      <c r="D962" s="11" t="n"/>
    </row>
    <row r="963">
      <c r="A963" s="9" t="n"/>
      <c r="D963" s="11" t="n"/>
    </row>
    <row r="964">
      <c r="A964" s="9" t="n"/>
      <c r="D964" s="11" t="n"/>
    </row>
    <row r="965">
      <c r="A965" s="9" t="n"/>
      <c r="D965" s="11" t="n"/>
    </row>
    <row r="966">
      <c r="A966" s="9" t="n"/>
      <c r="D966" s="11" t="n"/>
    </row>
    <row r="967">
      <c r="A967" s="9" t="n"/>
      <c r="D967" s="11" t="n"/>
    </row>
    <row r="968">
      <c r="A968" s="9" t="n"/>
      <c r="D968" s="11" t="n"/>
    </row>
    <row r="969">
      <c r="A969" s="9" t="n"/>
      <c r="D969" s="11" t="n"/>
    </row>
    <row r="970">
      <c r="A970" s="9" t="n"/>
      <c r="D970" s="11" t="n"/>
    </row>
    <row r="971">
      <c r="A971" s="9" t="n"/>
      <c r="D971" s="11" t="n"/>
    </row>
    <row r="972">
      <c r="A972" s="9" t="n"/>
      <c r="D972" s="11" t="n"/>
    </row>
    <row r="973">
      <c r="A973" s="9" t="n"/>
      <c r="D973" s="11" t="n"/>
    </row>
    <row r="974">
      <c r="A974" s="9" t="n"/>
      <c r="D974" s="11" t="n"/>
    </row>
    <row r="975">
      <c r="A975" s="9" t="n"/>
      <c r="D975" s="11" t="n"/>
    </row>
    <row r="976">
      <c r="A976" s="9" t="n"/>
      <c r="D976" s="11" t="n"/>
    </row>
    <row r="977">
      <c r="A977" s="9" t="n"/>
      <c r="D977" s="11" t="n"/>
    </row>
    <row r="978">
      <c r="A978" s="9" t="n"/>
      <c r="D978" s="11" t="n"/>
    </row>
    <row r="979">
      <c r="A979" s="9" t="n"/>
      <c r="D979" s="11" t="n"/>
    </row>
    <row r="980">
      <c r="A980" s="9" t="n"/>
      <c r="D980" s="11" t="n"/>
    </row>
    <row r="981">
      <c r="A981" s="9" t="n"/>
      <c r="D981" s="11" t="n"/>
    </row>
    <row r="982">
      <c r="A982" s="9" t="n"/>
      <c r="D982" s="11" t="n"/>
    </row>
    <row r="983">
      <c r="A983" s="9" t="n"/>
      <c r="D983" s="11" t="n"/>
    </row>
    <row r="984">
      <c r="A984" s="9" t="n"/>
      <c r="D984" s="11" t="n"/>
    </row>
    <row r="985">
      <c r="A985" s="9" t="n"/>
      <c r="D985" s="11" t="n"/>
    </row>
    <row r="986">
      <c r="A986" s="9" t="n"/>
      <c r="D986" s="11" t="n"/>
    </row>
    <row r="987">
      <c r="A987" s="9" t="n"/>
      <c r="D987" s="11" t="n"/>
    </row>
    <row r="988">
      <c r="A988" s="9" t="n"/>
      <c r="D988" s="11" t="n"/>
    </row>
    <row r="989">
      <c r="A989" s="9" t="n"/>
      <c r="D989" s="11" t="n"/>
    </row>
    <row r="990">
      <c r="A990" s="9" t="n"/>
      <c r="D990" s="11" t="n"/>
    </row>
    <row r="991">
      <c r="A991" s="9" t="n"/>
      <c r="D991" s="11" t="n"/>
    </row>
    <row r="992">
      <c r="A992" s="9" t="n"/>
      <c r="D992" s="11" t="n"/>
    </row>
    <row r="993">
      <c r="A993" s="9" t="n"/>
      <c r="D993" s="11" t="n"/>
    </row>
    <row r="994">
      <c r="A994" s="9" t="n"/>
      <c r="D994" s="11" t="n"/>
    </row>
    <row r="995">
      <c r="A995" s="9" t="n"/>
      <c r="D995" s="11" t="n"/>
    </row>
    <row r="996">
      <c r="A996" s="9" t="n"/>
      <c r="D996" s="11" t="n"/>
    </row>
    <row r="997">
      <c r="A997" s="9" t="n"/>
      <c r="D997" s="11" t="n"/>
    </row>
    <row r="998">
      <c r="A998" s="9" t="n"/>
      <c r="D998" s="11" t="n"/>
    </row>
    <row r="999">
      <c r="A999" s="9" t="n"/>
      <c r="D999" s="11" t="n"/>
    </row>
    <row r="1000">
      <c r="A1000" s="9" t="n"/>
      <c r="D1000" s="11" t="n"/>
    </row>
    <row r="1001">
      <c r="A1001" s="9" t="n"/>
      <c r="D1001" s="11" t="n"/>
    </row>
  </sheetData>
  <dataValidations count="1">
    <dataValidation sqref="C2:C1001" showDropDown="0" showInputMessage="0" showErrorMessage="1" allowBlank="1" error="Pick a category from the list" type="list">
      <formula1>=Lists!$A$2:$A$5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46" customWidth="1" min="4" max="4"/>
    <col width="14" customWidth="1" min="5" max="5"/>
    <col width="14" customWidth="1" min="6" max="6"/>
    <col width="16" customWidth="1" min="7" max="7"/>
  </cols>
  <sheetData>
    <row r="1">
      <c r="A1" s="10" t="inlineStr">
        <is>
          <t>Date</t>
        </is>
      </c>
      <c r="B1" s="10" t="inlineStr">
        <is>
          <t>Supplier</t>
        </is>
      </c>
      <c r="C1" s="10" t="inlineStr">
        <is>
          <t>Description</t>
        </is>
      </c>
      <c r="D1" s="10" t="inlineStr">
        <is>
          <t>Category</t>
        </is>
      </c>
      <c r="E1" s="10" t="inlineStr">
        <is>
          <t>Amount £</t>
        </is>
      </c>
      <c r="F1" s="10" t="inlineStr">
        <is>
          <t>Private use £</t>
        </is>
      </c>
      <c r="G1" s="10" t="inlineStr">
        <is>
          <t>Business part £</t>
        </is>
      </c>
    </row>
    <row r="2">
      <c r="A2" s="9" t="n"/>
      <c r="E2" s="11" t="n"/>
      <c r="F2" s="11" t="n"/>
      <c r="G2" s="11">
        <f>IF(E2="","",E2-N(F2))</f>
        <v/>
      </c>
    </row>
    <row r="3">
      <c r="A3" s="9" t="n"/>
      <c r="E3" s="11" t="n"/>
      <c r="F3" s="11" t="n"/>
      <c r="G3" s="11">
        <f>IF(E3="","",E3-N(F3))</f>
        <v/>
      </c>
    </row>
    <row r="4">
      <c r="A4" s="9" t="n"/>
      <c r="E4" s="11" t="n"/>
      <c r="F4" s="11" t="n"/>
      <c r="G4" s="11">
        <f>IF(E4="","",E4-N(F4))</f>
        <v/>
      </c>
    </row>
    <row r="5">
      <c r="A5" s="9" t="n"/>
      <c r="E5" s="11" t="n"/>
      <c r="F5" s="11" t="n"/>
      <c r="G5" s="11">
        <f>IF(E5="","",E5-N(F5))</f>
        <v/>
      </c>
    </row>
    <row r="6">
      <c r="A6" s="9" t="n"/>
      <c r="E6" s="11" t="n"/>
      <c r="F6" s="11" t="n"/>
      <c r="G6" s="11">
        <f>IF(E6="","",E6-N(F6))</f>
        <v/>
      </c>
    </row>
    <row r="7">
      <c r="A7" s="9" t="n"/>
      <c r="E7" s="11" t="n"/>
      <c r="F7" s="11" t="n"/>
      <c r="G7" s="11">
        <f>IF(E7="","",E7-N(F7))</f>
        <v/>
      </c>
    </row>
    <row r="8">
      <c r="A8" s="9" t="n"/>
      <c r="E8" s="11" t="n"/>
      <c r="F8" s="11" t="n"/>
      <c r="G8" s="11">
        <f>IF(E8="","",E8-N(F8))</f>
        <v/>
      </c>
    </row>
    <row r="9">
      <c r="A9" s="9" t="n"/>
      <c r="E9" s="11" t="n"/>
      <c r="F9" s="11" t="n"/>
      <c r="G9" s="11">
        <f>IF(E9="","",E9-N(F9))</f>
        <v/>
      </c>
    </row>
    <row r="10">
      <c r="A10" s="9" t="n"/>
      <c r="E10" s="11" t="n"/>
      <c r="F10" s="11" t="n"/>
      <c r="G10" s="11">
        <f>IF(E10="","",E10-N(F10))</f>
        <v/>
      </c>
    </row>
    <row r="11">
      <c r="A11" s="9" t="n"/>
      <c r="E11" s="11" t="n"/>
      <c r="F11" s="11" t="n"/>
      <c r="G11" s="11">
        <f>IF(E11="","",E11-N(F11))</f>
        <v/>
      </c>
    </row>
    <row r="12">
      <c r="A12" s="9" t="n"/>
      <c r="E12" s="11" t="n"/>
      <c r="F12" s="11" t="n"/>
      <c r="G12" s="11">
        <f>IF(E12="","",E12-N(F12))</f>
        <v/>
      </c>
    </row>
    <row r="13">
      <c r="A13" s="9" t="n"/>
      <c r="E13" s="11" t="n"/>
      <c r="F13" s="11" t="n"/>
      <c r="G13" s="11">
        <f>IF(E13="","",E13-N(F13))</f>
        <v/>
      </c>
    </row>
    <row r="14">
      <c r="A14" s="9" t="n"/>
      <c r="E14" s="11" t="n"/>
      <c r="F14" s="11" t="n"/>
      <c r="G14" s="11">
        <f>IF(E14="","",E14-N(F14))</f>
        <v/>
      </c>
    </row>
    <row r="15">
      <c r="A15" s="9" t="n"/>
      <c r="E15" s="11" t="n"/>
      <c r="F15" s="11" t="n"/>
      <c r="G15" s="11">
        <f>IF(E15="","",E15-N(F15))</f>
        <v/>
      </c>
    </row>
    <row r="16">
      <c r="A16" s="9" t="n"/>
      <c r="E16" s="11" t="n"/>
      <c r="F16" s="11" t="n"/>
      <c r="G16" s="11">
        <f>IF(E16="","",E16-N(F16))</f>
        <v/>
      </c>
    </row>
    <row r="17">
      <c r="A17" s="9" t="n"/>
      <c r="E17" s="11" t="n"/>
      <c r="F17" s="11" t="n"/>
      <c r="G17" s="11">
        <f>IF(E17="","",E17-N(F17))</f>
        <v/>
      </c>
    </row>
    <row r="18">
      <c r="A18" s="9" t="n"/>
      <c r="E18" s="11" t="n"/>
      <c r="F18" s="11" t="n"/>
      <c r="G18" s="11">
        <f>IF(E18="","",E18-N(F18))</f>
        <v/>
      </c>
    </row>
    <row r="19">
      <c r="A19" s="9" t="n"/>
      <c r="E19" s="11" t="n"/>
      <c r="F19" s="11" t="n"/>
      <c r="G19" s="11">
        <f>IF(E19="","",E19-N(F19))</f>
        <v/>
      </c>
    </row>
    <row r="20">
      <c r="A20" s="9" t="n"/>
      <c r="E20" s="11" t="n"/>
      <c r="F20" s="11" t="n"/>
      <c r="G20" s="11">
        <f>IF(E20="","",E20-N(F20))</f>
        <v/>
      </c>
    </row>
    <row r="21">
      <c r="A21" s="9" t="n"/>
      <c r="E21" s="11" t="n"/>
      <c r="F21" s="11" t="n"/>
      <c r="G21" s="11">
        <f>IF(E21="","",E21-N(F21))</f>
        <v/>
      </c>
    </row>
    <row r="22">
      <c r="A22" s="9" t="n"/>
      <c r="E22" s="11" t="n"/>
      <c r="F22" s="11" t="n"/>
      <c r="G22" s="11">
        <f>IF(E22="","",E22-N(F22))</f>
        <v/>
      </c>
    </row>
    <row r="23">
      <c r="A23" s="9" t="n"/>
      <c r="E23" s="11" t="n"/>
      <c r="F23" s="11" t="n"/>
      <c r="G23" s="11">
        <f>IF(E23="","",E23-N(F23))</f>
        <v/>
      </c>
    </row>
    <row r="24">
      <c r="A24" s="9" t="n"/>
      <c r="E24" s="11" t="n"/>
      <c r="F24" s="11" t="n"/>
      <c r="G24" s="11">
        <f>IF(E24="","",E24-N(F24))</f>
        <v/>
      </c>
    </row>
    <row r="25">
      <c r="A25" s="9" t="n"/>
      <c r="E25" s="11" t="n"/>
      <c r="F25" s="11" t="n"/>
      <c r="G25" s="11">
        <f>IF(E25="","",E25-N(F25))</f>
        <v/>
      </c>
    </row>
    <row r="26">
      <c r="A26" s="9" t="n"/>
      <c r="E26" s="11" t="n"/>
      <c r="F26" s="11" t="n"/>
      <c r="G26" s="11">
        <f>IF(E26="","",E26-N(F26))</f>
        <v/>
      </c>
    </row>
    <row r="27">
      <c r="A27" s="9" t="n"/>
      <c r="E27" s="11" t="n"/>
      <c r="F27" s="11" t="n"/>
      <c r="G27" s="11">
        <f>IF(E27="","",E27-N(F27))</f>
        <v/>
      </c>
    </row>
    <row r="28">
      <c r="A28" s="9" t="n"/>
      <c r="E28" s="11" t="n"/>
      <c r="F28" s="11" t="n"/>
      <c r="G28" s="11">
        <f>IF(E28="","",E28-N(F28))</f>
        <v/>
      </c>
    </row>
    <row r="29">
      <c r="A29" s="9" t="n"/>
      <c r="E29" s="11" t="n"/>
      <c r="F29" s="11" t="n"/>
      <c r="G29" s="11">
        <f>IF(E29="","",E29-N(F29))</f>
        <v/>
      </c>
    </row>
    <row r="30">
      <c r="A30" s="9" t="n"/>
      <c r="E30" s="11" t="n"/>
      <c r="F30" s="11" t="n"/>
      <c r="G30" s="11">
        <f>IF(E30="","",E30-N(F30))</f>
        <v/>
      </c>
    </row>
    <row r="31">
      <c r="A31" s="9" t="n"/>
      <c r="E31" s="11" t="n"/>
      <c r="F31" s="11" t="n"/>
      <c r="G31" s="11">
        <f>IF(E31="","",E31-N(F31))</f>
        <v/>
      </c>
    </row>
    <row r="32">
      <c r="A32" s="9" t="n"/>
      <c r="E32" s="11" t="n"/>
      <c r="F32" s="11" t="n"/>
      <c r="G32" s="11">
        <f>IF(E32="","",E32-N(F32))</f>
        <v/>
      </c>
    </row>
    <row r="33">
      <c r="A33" s="9" t="n"/>
      <c r="E33" s="11" t="n"/>
      <c r="F33" s="11" t="n"/>
      <c r="G33" s="11">
        <f>IF(E33="","",E33-N(F33))</f>
        <v/>
      </c>
    </row>
    <row r="34">
      <c r="A34" s="9" t="n"/>
      <c r="E34" s="11" t="n"/>
      <c r="F34" s="11" t="n"/>
      <c r="G34" s="11">
        <f>IF(E34="","",E34-N(F34))</f>
        <v/>
      </c>
    </row>
    <row r="35">
      <c r="A35" s="9" t="n"/>
      <c r="E35" s="11" t="n"/>
      <c r="F35" s="11" t="n"/>
      <c r="G35" s="11">
        <f>IF(E35="","",E35-N(F35))</f>
        <v/>
      </c>
    </row>
    <row r="36">
      <c r="A36" s="9" t="n"/>
      <c r="E36" s="11" t="n"/>
      <c r="F36" s="11" t="n"/>
      <c r="G36" s="11">
        <f>IF(E36="","",E36-N(F36))</f>
        <v/>
      </c>
    </row>
    <row r="37">
      <c r="A37" s="9" t="n"/>
      <c r="E37" s="11" t="n"/>
      <c r="F37" s="11" t="n"/>
      <c r="G37" s="11">
        <f>IF(E37="","",E37-N(F37))</f>
        <v/>
      </c>
    </row>
    <row r="38">
      <c r="A38" s="9" t="n"/>
      <c r="E38" s="11" t="n"/>
      <c r="F38" s="11" t="n"/>
      <c r="G38" s="11">
        <f>IF(E38="","",E38-N(F38))</f>
        <v/>
      </c>
    </row>
    <row r="39">
      <c r="A39" s="9" t="n"/>
      <c r="E39" s="11" t="n"/>
      <c r="F39" s="11" t="n"/>
      <c r="G39" s="11">
        <f>IF(E39="","",E39-N(F39))</f>
        <v/>
      </c>
    </row>
    <row r="40">
      <c r="A40" s="9" t="n"/>
      <c r="E40" s="11" t="n"/>
      <c r="F40" s="11" t="n"/>
      <c r="G40" s="11">
        <f>IF(E40="","",E40-N(F40))</f>
        <v/>
      </c>
    </row>
    <row r="41">
      <c r="A41" s="9" t="n"/>
      <c r="E41" s="11" t="n"/>
      <c r="F41" s="11" t="n"/>
      <c r="G41" s="11">
        <f>IF(E41="","",E41-N(F41))</f>
        <v/>
      </c>
    </row>
    <row r="42">
      <c r="A42" s="9" t="n"/>
      <c r="E42" s="11" t="n"/>
      <c r="F42" s="11" t="n"/>
      <c r="G42" s="11">
        <f>IF(E42="","",E42-N(F42))</f>
        <v/>
      </c>
    </row>
    <row r="43">
      <c r="A43" s="9" t="n"/>
      <c r="E43" s="11" t="n"/>
      <c r="F43" s="11" t="n"/>
      <c r="G43" s="11">
        <f>IF(E43="","",E43-N(F43))</f>
        <v/>
      </c>
    </row>
    <row r="44">
      <c r="A44" s="9" t="n"/>
      <c r="E44" s="11" t="n"/>
      <c r="F44" s="11" t="n"/>
      <c r="G44" s="11">
        <f>IF(E44="","",E44-N(F44))</f>
        <v/>
      </c>
    </row>
    <row r="45">
      <c r="A45" s="9" t="n"/>
      <c r="E45" s="11" t="n"/>
      <c r="F45" s="11" t="n"/>
      <c r="G45" s="11">
        <f>IF(E45="","",E45-N(F45))</f>
        <v/>
      </c>
    </row>
    <row r="46">
      <c r="A46" s="9" t="n"/>
      <c r="E46" s="11" t="n"/>
      <c r="F46" s="11" t="n"/>
      <c r="G46" s="11">
        <f>IF(E46="","",E46-N(F46))</f>
        <v/>
      </c>
    </row>
    <row r="47">
      <c r="A47" s="9" t="n"/>
      <c r="E47" s="11" t="n"/>
      <c r="F47" s="11" t="n"/>
      <c r="G47" s="11">
        <f>IF(E47="","",E47-N(F47))</f>
        <v/>
      </c>
    </row>
    <row r="48">
      <c r="A48" s="9" t="n"/>
      <c r="E48" s="11" t="n"/>
      <c r="F48" s="11" t="n"/>
      <c r="G48" s="11">
        <f>IF(E48="","",E48-N(F48))</f>
        <v/>
      </c>
    </row>
    <row r="49">
      <c r="A49" s="9" t="n"/>
      <c r="E49" s="11" t="n"/>
      <c r="F49" s="11" t="n"/>
      <c r="G49" s="11">
        <f>IF(E49="","",E49-N(F49))</f>
        <v/>
      </c>
    </row>
    <row r="50">
      <c r="A50" s="9" t="n"/>
      <c r="E50" s="11" t="n"/>
      <c r="F50" s="11" t="n"/>
      <c r="G50" s="11">
        <f>IF(E50="","",E50-N(F50))</f>
        <v/>
      </c>
    </row>
    <row r="51">
      <c r="A51" s="9" t="n"/>
      <c r="E51" s="11" t="n"/>
      <c r="F51" s="11" t="n"/>
      <c r="G51" s="11">
        <f>IF(E51="","",E51-N(F51))</f>
        <v/>
      </c>
    </row>
    <row r="52">
      <c r="A52" s="9" t="n"/>
      <c r="E52" s="11" t="n"/>
      <c r="F52" s="11" t="n"/>
      <c r="G52" s="11">
        <f>IF(E52="","",E52-N(F52))</f>
        <v/>
      </c>
    </row>
    <row r="53">
      <c r="A53" s="9" t="n"/>
      <c r="E53" s="11" t="n"/>
      <c r="F53" s="11" t="n"/>
      <c r="G53" s="11">
        <f>IF(E53="","",E53-N(F53))</f>
        <v/>
      </c>
    </row>
    <row r="54">
      <c r="A54" s="9" t="n"/>
      <c r="E54" s="11" t="n"/>
      <c r="F54" s="11" t="n"/>
      <c r="G54" s="11">
        <f>IF(E54="","",E54-N(F54))</f>
        <v/>
      </c>
    </row>
    <row r="55">
      <c r="A55" s="9" t="n"/>
      <c r="E55" s="11" t="n"/>
      <c r="F55" s="11" t="n"/>
      <c r="G55" s="11">
        <f>IF(E55="","",E55-N(F55))</f>
        <v/>
      </c>
    </row>
    <row r="56">
      <c r="A56" s="9" t="n"/>
      <c r="E56" s="11" t="n"/>
      <c r="F56" s="11" t="n"/>
      <c r="G56" s="11">
        <f>IF(E56="","",E56-N(F56))</f>
        <v/>
      </c>
    </row>
    <row r="57">
      <c r="A57" s="9" t="n"/>
      <c r="E57" s="11" t="n"/>
      <c r="F57" s="11" t="n"/>
      <c r="G57" s="11">
        <f>IF(E57="","",E57-N(F57))</f>
        <v/>
      </c>
    </row>
    <row r="58">
      <c r="A58" s="9" t="n"/>
      <c r="E58" s="11" t="n"/>
      <c r="F58" s="11" t="n"/>
      <c r="G58" s="11">
        <f>IF(E58="","",E58-N(F58))</f>
        <v/>
      </c>
    </row>
    <row r="59">
      <c r="A59" s="9" t="n"/>
      <c r="E59" s="11" t="n"/>
      <c r="F59" s="11" t="n"/>
      <c r="G59" s="11">
        <f>IF(E59="","",E59-N(F59))</f>
        <v/>
      </c>
    </row>
    <row r="60">
      <c r="A60" s="9" t="n"/>
      <c r="E60" s="11" t="n"/>
      <c r="F60" s="11" t="n"/>
      <c r="G60" s="11">
        <f>IF(E60="","",E60-N(F60))</f>
        <v/>
      </c>
    </row>
    <row r="61">
      <c r="A61" s="9" t="n"/>
      <c r="E61" s="11" t="n"/>
      <c r="F61" s="11" t="n"/>
      <c r="G61" s="11">
        <f>IF(E61="","",E61-N(F61))</f>
        <v/>
      </c>
    </row>
    <row r="62">
      <c r="A62" s="9" t="n"/>
      <c r="E62" s="11" t="n"/>
      <c r="F62" s="11" t="n"/>
      <c r="G62" s="11">
        <f>IF(E62="","",E62-N(F62))</f>
        <v/>
      </c>
    </row>
    <row r="63">
      <c r="A63" s="9" t="n"/>
      <c r="E63" s="11" t="n"/>
      <c r="F63" s="11" t="n"/>
      <c r="G63" s="11">
        <f>IF(E63="","",E63-N(F63))</f>
        <v/>
      </c>
    </row>
    <row r="64">
      <c r="A64" s="9" t="n"/>
      <c r="E64" s="11" t="n"/>
      <c r="F64" s="11" t="n"/>
      <c r="G64" s="11">
        <f>IF(E64="","",E64-N(F64))</f>
        <v/>
      </c>
    </row>
    <row r="65">
      <c r="A65" s="9" t="n"/>
      <c r="E65" s="11" t="n"/>
      <c r="F65" s="11" t="n"/>
      <c r="G65" s="11">
        <f>IF(E65="","",E65-N(F65))</f>
        <v/>
      </c>
    </row>
    <row r="66">
      <c r="A66" s="9" t="n"/>
      <c r="E66" s="11" t="n"/>
      <c r="F66" s="11" t="n"/>
      <c r="G66" s="11">
        <f>IF(E66="","",E66-N(F66))</f>
        <v/>
      </c>
    </row>
    <row r="67">
      <c r="A67" s="9" t="n"/>
      <c r="E67" s="11" t="n"/>
      <c r="F67" s="11" t="n"/>
      <c r="G67" s="11">
        <f>IF(E67="","",E67-N(F67))</f>
        <v/>
      </c>
    </row>
    <row r="68">
      <c r="A68" s="9" t="n"/>
      <c r="E68" s="11" t="n"/>
      <c r="F68" s="11" t="n"/>
      <c r="G68" s="11">
        <f>IF(E68="","",E68-N(F68))</f>
        <v/>
      </c>
    </row>
    <row r="69">
      <c r="A69" s="9" t="n"/>
      <c r="E69" s="11" t="n"/>
      <c r="F69" s="11" t="n"/>
      <c r="G69" s="11">
        <f>IF(E69="","",E69-N(F69))</f>
        <v/>
      </c>
    </row>
    <row r="70">
      <c r="A70" s="9" t="n"/>
      <c r="E70" s="11" t="n"/>
      <c r="F70" s="11" t="n"/>
      <c r="G70" s="11">
        <f>IF(E70="","",E70-N(F70))</f>
        <v/>
      </c>
    </row>
    <row r="71">
      <c r="A71" s="9" t="n"/>
      <c r="E71" s="11" t="n"/>
      <c r="F71" s="11" t="n"/>
      <c r="G71" s="11">
        <f>IF(E71="","",E71-N(F71))</f>
        <v/>
      </c>
    </row>
    <row r="72">
      <c r="A72" s="9" t="n"/>
      <c r="E72" s="11" t="n"/>
      <c r="F72" s="11" t="n"/>
      <c r="G72" s="11">
        <f>IF(E72="","",E72-N(F72))</f>
        <v/>
      </c>
    </row>
    <row r="73">
      <c r="A73" s="9" t="n"/>
      <c r="E73" s="11" t="n"/>
      <c r="F73" s="11" t="n"/>
      <c r="G73" s="11">
        <f>IF(E73="","",E73-N(F73))</f>
        <v/>
      </c>
    </row>
    <row r="74">
      <c r="A74" s="9" t="n"/>
      <c r="E74" s="11" t="n"/>
      <c r="F74" s="11" t="n"/>
      <c r="G74" s="11">
        <f>IF(E74="","",E74-N(F74))</f>
        <v/>
      </c>
    </row>
    <row r="75">
      <c r="A75" s="9" t="n"/>
      <c r="E75" s="11" t="n"/>
      <c r="F75" s="11" t="n"/>
      <c r="G75" s="11">
        <f>IF(E75="","",E75-N(F75))</f>
        <v/>
      </c>
    </row>
    <row r="76">
      <c r="A76" s="9" t="n"/>
      <c r="E76" s="11" t="n"/>
      <c r="F76" s="11" t="n"/>
      <c r="G76" s="11">
        <f>IF(E76="","",E76-N(F76))</f>
        <v/>
      </c>
    </row>
    <row r="77">
      <c r="A77" s="9" t="n"/>
      <c r="E77" s="11" t="n"/>
      <c r="F77" s="11" t="n"/>
      <c r="G77" s="11">
        <f>IF(E77="","",E77-N(F77))</f>
        <v/>
      </c>
    </row>
    <row r="78">
      <c r="A78" s="9" t="n"/>
      <c r="E78" s="11" t="n"/>
      <c r="F78" s="11" t="n"/>
      <c r="G78" s="11">
        <f>IF(E78="","",E78-N(F78))</f>
        <v/>
      </c>
    </row>
    <row r="79">
      <c r="A79" s="9" t="n"/>
      <c r="E79" s="11" t="n"/>
      <c r="F79" s="11" t="n"/>
      <c r="G79" s="11">
        <f>IF(E79="","",E79-N(F79))</f>
        <v/>
      </c>
    </row>
    <row r="80">
      <c r="A80" s="9" t="n"/>
      <c r="E80" s="11" t="n"/>
      <c r="F80" s="11" t="n"/>
      <c r="G80" s="11">
        <f>IF(E80="","",E80-N(F80))</f>
        <v/>
      </c>
    </row>
    <row r="81">
      <c r="A81" s="9" t="n"/>
      <c r="E81" s="11" t="n"/>
      <c r="F81" s="11" t="n"/>
      <c r="G81" s="11">
        <f>IF(E81="","",E81-N(F81))</f>
        <v/>
      </c>
    </row>
    <row r="82">
      <c r="A82" s="9" t="n"/>
      <c r="E82" s="11" t="n"/>
      <c r="F82" s="11" t="n"/>
      <c r="G82" s="11">
        <f>IF(E82="","",E82-N(F82))</f>
        <v/>
      </c>
    </row>
    <row r="83">
      <c r="A83" s="9" t="n"/>
      <c r="E83" s="11" t="n"/>
      <c r="F83" s="11" t="n"/>
      <c r="G83" s="11">
        <f>IF(E83="","",E83-N(F83))</f>
        <v/>
      </c>
    </row>
    <row r="84">
      <c r="A84" s="9" t="n"/>
      <c r="E84" s="11" t="n"/>
      <c r="F84" s="11" t="n"/>
      <c r="G84" s="11">
        <f>IF(E84="","",E84-N(F84))</f>
        <v/>
      </c>
    </row>
    <row r="85">
      <c r="A85" s="9" t="n"/>
      <c r="E85" s="11" t="n"/>
      <c r="F85" s="11" t="n"/>
      <c r="G85" s="11">
        <f>IF(E85="","",E85-N(F85))</f>
        <v/>
      </c>
    </row>
    <row r="86">
      <c r="A86" s="9" t="n"/>
      <c r="E86" s="11" t="n"/>
      <c r="F86" s="11" t="n"/>
      <c r="G86" s="11">
        <f>IF(E86="","",E86-N(F86))</f>
        <v/>
      </c>
    </row>
    <row r="87">
      <c r="A87" s="9" t="n"/>
      <c r="E87" s="11" t="n"/>
      <c r="F87" s="11" t="n"/>
      <c r="G87" s="11">
        <f>IF(E87="","",E87-N(F87))</f>
        <v/>
      </c>
    </row>
    <row r="88">
      <c r="A88" s="9" t="n"/>
      <c r="E88" s="11" t="n"/>
      <c r="F88" s="11" t="n"/>
      <c r="G88" s="11">
        <f>IF(E88="","",E88-N(F88))</f>
        <v/>
      </c>
    </row>
    <row r="89">
      <c r="A89" s="9" t="n"/>
      <c r="E89" s="11" t="n"/>
      <c r="F89" s="11" t="n"/>
      <c r="G89" s="11">
        <f>IF(E89="","",E89-N(F89))</f>
        <v/>
      </c>
    </row>
    <row r="90">
      <c r="A90" s="9" t="n"/>
      <c r="E90" s="11" t="n"/>
      <c r="F90" s="11" t="n"/>
      <c r="G90" s="11">
        <f>IF(E90="","",E90-N(F90))</f>
        <v/>
      </c>
    </row>
    <row r="91">
      <c r="A91" s="9" t="n"/>
      <c r="E91" s="11" t="n"/>
      <c r="F91" s="11" t="n"/>
      <c r="G91" s="11">
        <f>IF(E91="","",E91-N(F91))</f>
        <v/>
      </c>
    </row>
    <row r="92">
      <c r="A92" s="9" t="n"/>
      <c r="E92" s="11" t="n"/>
      <c r="F92" s="11" t="n"/>
      <c r="G92" s="11">
        <f>IF(E92="","",E92-N(F92))</f>
        <v/>
      </c>
    </row>
    <row r="93">
      <c r="A93" s="9" t="n"/>
      <c r="E93" s="11" t="n"/>
      <c r="F93" s="11" t="n"/>
      <c r="G93" s="11">
        <f>IF(E93="","",E93-N(F93))</f>
        <v/>
      </c>
    </row>
    <row r="94">
      <c r="A94" s="9" t="n"/>
      <c r="E94" s="11" t="n"/>
      <c r="F94" s="11" t="n"/>
      <c r="G94" s="11">
        <f>IF(E94="","",E94-N(F94))</f>
        <v/>
      </c>
    </row>
    <row r="95">
      <c r="A95" s="9" t="n"/>
      <c r="E95" s="11" t="n"/>
      <c r="F95" s="11" t="n"/>
      <c r="G95" s="11">
        <f>IF(E95="","",E95-N(F95))</f>
        <v/>
      </c>
    </row>
    <row r="96">
      <c r="A96" s="9" t="n"/>
      <c r="E96" s="11" t="n"/>
      <c r="F96" s="11" t="n"/>
      <c r="G96" s="11">
        <f>IF(E96="","",E96-N(F96))</f>
        <v/>
      </c>
    </row>
    <row r="97">
      <c r="A97" s="9" t="n"/>
      <c r="E97" s="11" t="n"/>
      <c r="F97" s="11" t="n"/>
      <c r="G97" s="11">
        <f>IF(E97="","",E97-N(F97))</f>
        <v/>
      </c>
    </row>
    <row r="98">
      <c r="A98" s="9" t="n"/>
      <c r="E98" s="11" t="n"/>
      <c r="F98" s="11" t="n"/>
      <c r="G98" s="11">
        <f>IF(E98="","",E98-N(F98))</f>
        <v/>
      </c>
    </row>
    <row r="99">
      <c r="A99" s="9" t="n"/>
      <c r="E99" s="11" t="n"/>
      <c r="F99" s="11" t="n"/>
      <c r="G99" s="11">
        <f>IF(E99="","",E99-N(F99))</f>
        <v/>
      </c>
    </row>
    <row r="100">
      <c r="A100" s="9" t="n"/>
      <c r="E100" s="11" t="n"/>
      <c r="F100" s="11" t="n"/>
      <c r="G100" s="11">
        <f>IF(E100="","",E100-N(F100))</f>
        <v/>
      </c>
    </row>
    <row r="101">
      <c r="A101" s="9" t="n"/>
      <c r="E101" s="11" t="n"/>
      <c r="F101" s="11" t="n"/>
      <c r="G101" s="11">
        <f>IF(E101="","",E101-N(F101))</f>
        <v/>
      </c>
    </row>
    <row r="102">
      <c r="A102" s="9" t="n"/>
      <c r="E102" s="11" t="n"/>
      <c r="F102" s="11" t="n"/>
      <c r="G102" s="11">
        <f>IF(E102="","",E102-N(F102))</f>
        <v/>
      </c>
    </row>
    <row r="103">
      <c r="A103" s="9" t="n"/>
      <c r="E103" s="11" t="n"/>
      <c r="F103" s="11" t="n"/>
      <c r="G103" s="11">
        <f>IF(E103="","",E103-N(F103))</f>
        <v/>
      </c>
    </row>
    <row r="104">
      <c r="A104" s="9" t="n"/>
      <c r="E104" s="11" t="n"/>
      <c r="F104" s="11" t="n"/>
      <c r="G104" s="11">
        <f>IF(E104="","",E104-N(F104))</f>
        <v/>
      </c>
    </row>
    <row r="105">
      <c r="A105" s="9" t="n"/>
      <c r="E105" s="11" t="n"/>
      <c r="F105" s="11" t="n"/>
      <c r="G105" s="11">
        <f>IF(E105="","",E105-N(F105))</f>
        <v/>
      </c>
    </row>
    <row r="106">
      <c r="A106" s="9" t="n"/>
      <c r="E106" s="11" t="n"/>
      <c r="F106" s="11" t="n"/>
      <c r="G106" s="11">
        <f>IF(E106="","",E106-N(F106))</f>
        <v/>
      </c>
    </row>
    <row r="107">
      <c r="A107" s="9" t="n"/>
      <c r="E107" s="11" t="n"/>
      <c r="F107" s="11" t="n"/>
      <c r="G107" s="11">
        <f>IF(E107="","",E107-N(F107))</f>
        <v/>
      </c>
    </row>
    <row r="108">
      <c r="A108" s="9" t="n"/>
      <c r="E108" s="11" t="n"/>
      <c r="F108" s="11" t="n"/>
      <c r="G108" s="11">
        <f>IF(E108="","",E108-N(F108))</f>
        <v/>
      </c>
    </row>
    <row r="109">
      <c r="A109" s="9" t="n"/>
      <c r="E109" s="11" t="n"/>
      <c r="F109" s="11" t="n"/>
      <c r="G109" s="11">
        <f>IF(E109="","",E109-N(F109))</f>
        <v/>
      </c>
    </row>
    <row r="110">
      <c r="A110" s="9" t="n"/>
      <c r="E110" s="11" t="n"/>
      <c r="F110" s="11" t="n"/>
      <c r="G110" s="11">
        <f>IF(E110="","",E110-N(F110))</f>
        <v/>
      </c>
    </row>
    <row r="111">
      <c r="A111" s="9" t="n"/>
      <c r="E111" s="11" t="n"/>
      <c r="F111" s="11" t="n"/>
      <c r="G111" s="11">
        <f>IF(E111="","",E111-N(F111))</f>
        <v/>
      </c>
    </row>
    <row r="112">
      <c r="A112" s="9" t="n"/>
      <c r="E112" s="11" t="n"/>
      <c r="F112" s="11" t="n"/>
      <c r="G112" s="11">
        <f>IF(E112="","",E112-N(F112))</f>
        <v/>
      </c>
    </row>
    <row r="113">
      <c r="A113" s="9" t="n"/>
      <c r="E113" s="11" t="n"/>
      <c r="F113" s="11" t="n"/>
      <c r="G113" s="11">
        <f>IF(E113="","",E113-N(F113))</f>
        <v/>
      </c>
    </row>
    <row r="114">
      <c r="A114" s="9" t="n"/>
      <c r="E114" s="11" t="n"/>
      <c r="F114" s="11" t="n"/>
      <c r="G114" s="11">
        <f>IF(E114="","",E114-N(F114))</f>
        <v/>
      </c>
    </row>
    <row r="115">
      <c r="A115" s="9" t="n"/>
      <c r="E115" s="11" t="n"/>
      <c r="F115" s="11" t="n"/>
      <c r="G115" s="11">
        <f>IF(E115="","",E115-N(F115))</f>
        <v/>
      </c>
    </row>
    <row r="116">
      <c r="A116" s="9" t="n"/>
      <c r="E116" s="11" t="n"/>
      <c r="F116" s="11" t="n"/>
      <c r="G116" s="11">
        <f>IF(E116="","",E116-N(F116))</f>
        <v/>
      </c>
    </row>
    <row r="117">
      <c r="A117" s="9" t="n"/>
      <c r="E117" s="11" t="n"/>
      <c r="F117" s="11" t="n"/>
      <c r="G117" s="11">
        <f>IF(E117="","",E117-N(F117))</f>
        <v/>
      </c>
    </row>
    <row r="118">
      <c r="A118" s="9" t="n"/>
      <c r="E118" s="11" t="n"/>
      <c r="F118" s="11" t="n"/>
      <c r="G118" s="11">
        <f>IF(E118="","",E118-N(F118))</f>
        <v/>
      </c>
    </row>
    <row r="119">
      <c r="A119" s="9" t="n"/>
      <c r="E119" s="11" t="n"/>
      <c r="F119" s="11" t="n"/>
      <c r="G119" s="11">
        <f>IF(E119="","",E119-N(F119))</f>
        <v/>
      </c>
    </row>
    <row r="120">
      <c r="A120" s="9" t="n"/>
      <c r="E120" s="11" t="n"/>
      <c r="F120" s="11" t="n"/>
      <c r="G120" s="11">
        <f>IF(E120="","",E120-N(F120))</f>
        <v/>
      </c>
    </row>
    <row r="121">
      <c r="A121" s="9" t="n"/>
      <c r="E121" s="11" t="n"/>
      <c r="F121" s="11" t="n"/>
      <c r="G121" s="11">
        <f>IF(E121="","",E121-N(F121))</f>
        <v/>
      </c>
    </row>
    <row r="122">
      <c r="A122" s="9" t="n"/>
      <c r="E122" s="11" t="n"/>
      <c r="F122" s="11" t="n"/>
      <c r="G122" s="11">
        <f>IF(E122="","",E122-N(F122))</f>
        <v/>
      </c>
    </row>
    <row r="123">
      <c r="A123" s="9" t="n"/>
      <c r="E123" s="11" t="n"/>
      <c r="F123" s="11" t="n"/>
      <c r="G123" s="11">
        <f>IF(E123="","",E123-N(F123))</f>
        <v/>
      </c>
    </row>
    <row r="124">
      <c r="A124" s="9" t="n"/>
      <c r="E124" s="11" t="n"/>
      <c r="F124" s="11" t="n"/>
      <c r="G124" s="11">
        <f>IF(E124="","",E124-N(F124))</f>
        <v/>
      </c>
    </row>
    <row r="125">
      <c r="A125" s="9" t="n"/>
      <c r="E125" s="11" t="n"/>
      <c r="F125" s="11" t="n"/>
      <c r="G125" s="11">
        <f>IF(E125="","",E125-N(F125))</f>
        <v/>
      </c>
    </row>
    <row r="126">
      <c r="A126" s="9" t="n"/>
      <c r="E126" s="11" t="n"/>
      <c r="F126" s="11" t="n"/>
      <c r="G126" s="11">
        <f>IF(E126="","",E126-N(F126))</f>
        <v/>
      </c>
    </row>
    <row r="127">
      <c r="A127" s="9" t="n"/>
      <c r="E127" s="11" t="n"/>
      <c r="F127" s="11" t="n"/>
      <c r="G127" s="11">
        <f>IF(E127="","",E127-N(F127))</f>
        <v/>
      </c>
    </row>
    <row r="128">
      <c r="A128" s="9" t="n"/>
      <c r="E128" s="11" t="n"/>
      <c r="F128" s="11" t="n"/>
      <c r="G128" s="11">
        <f>IF(E128="","",E128-N(F128))</f>
        <v/>
      </c>
    </row>
    <row r="129">
      <c r="A129" s="9" t="n"/>
      <c r="E129" s="11" t="n"/>
      <c r="F129" s="11" t="n"/>
      <c r="G129" s="11">
        <f>IF(E129="","",E129-N(F129))</f>
        <v/>
      </c>
    </row>
    <row r="130">
      <c r="A130" s="9" t="n"/>
      <c r="E130" s="11" t="n"/>
      <c r="F130" s="11" t="n"/>
      <c r="G130" s="11">
        <f>IF(E130="","",E130-N(F130))</f>
        <v/>
      </c>
    </row>
    <row r="131">
      <c r="A131" s="9" t="n"/>
      <c r="E131" s="11" t="n"/>
      <c r="F131" s="11" t="n"/>
      <c r="G131" s="11">
        <f>IF(E131="","",E131-N(F131))</f>
        <v/>
      </c>
    </row>
    <row r="132">
      <c r="A132" s="9" t="n"/>
      <c r="E132" s="11" t="n"/>
      <c r="F132" s="11" t="n"/>
      <c r="G132" s="11">
        <f>IF(E132="","",E132-N(F132))</f>
        <v/>
      </c>
    </row>
    <row r="133">
      <c r="A133" s="9" t="n"/>
      <c r="E133" s="11" t="n"/>
      <c r="F133" s="11" t="n"/>
      <c r="G133" s="11">
        <f>IF(E133="","",E133-N(F133))</f>
        <v/>
      </c>
    </row>
    <row r="134">
      <c r="A134" s="9" t="n"/>
      <c r="E134" s="11" t="n"/>
      <c r="F134" s="11" t="n"/>
      <c r="G134" s="11">
        <f>IF(E134="","",E134-N(F134))</f>
        <v/>
      </c>
    </row>
    <row r="135">
      <c r="A135" s="9" t="n"/>
      <c r="E135" s="11" t="n"/>
      <c r="F135" s="11" t="n"/>
      <c r="G135" s="11">
        <f>IF(E135="","",E135-N(F135))</f>
        <v/>
      </c>
    </row>
    <row r="136">
      <c r="A136" s="9" t="n"/>
      <c r="E136" s="11" t="n"/>
      <c r="F136" s="11" t="n"/>
      <c r="G136" s="11">
        <f>IF(E136="","",E136-N(F136))</f>
        <v/>
      </c>
    </row>
    <row r="137">
      <c r="A137" s="9" t="n"/>
      <c r="E137" s="11" t="n"/>
      <c r="F137" s="11" t="n"/>
      <c r="G137" s="11">
        <f>IF(E137="","",E137-N(F137))</f>
        <v/>
      </c>
    </row>
    <row r="138">
      <c r="A138" s="9" t="n"/>
      <c r="E138" s="11" t="n"/>
      <c r="F138" s="11" t="n"/>
      <c r="G138" s="11">
        <f>IF(E138="","",E138-N(F138))</f>
        <v/>
      </c>
    </row>
    <row r="139">
      <c r="A139" s="9" t="n"/>
      <c r="E139" s="11" t="n"/>
      <c r="F139" s="11" t="n"/>
      <c r="G139" s="11">
        <f>IF(E139="","",E139-N(F139))</f>
        <v/>
      </c>
    </row>
    <row r="140">
      <c r="A140" s="9" t="n"/>
      <c r="E140" s="11" t="n"/>
      <c r="F140" s="11" t="n"/>
      <c r="G140" s="11">
        <f>IF(E140="","",E140-N(F140))</f>
        <v/>
      </c>
    </row>
    <row r="141">
      <c r="A141" s="9" t="n"/>
      <c r="E141" s="11" t="n"/>
      <c r="F141" s="11" t="n"/>
      <c r="G141" s="11">
        <f>IF(E141="","",E141-N(F141))</f>
        <v/>
      </c>
    </row>
    <row r="142">
      <c r="A142" s="9" t="n"/>
      <c r="E142" s="11" t="n"/>
      <c r="F142" s="11" t="n"/>
      <c r="G142" s="11">
        <f>IF(E142="","",E142-N(F142))</f>
        <v/>
      </c>
    </row>
    <row r="143">
      <c r="A143" s="9" t="n"/>
      <c r="E143" s="11" t="n"/>
      <c r="F143" s="11" t="n"/>
      <c r="G143" s="11">
        <f>IF(E143="","",E143-N(F143))</f>
        <v/>
      </c>
    </row>
    <row r="144">
      <c r="A144" s="9" t="n"/>
      <c r="E144" s="11" t="n"/>
      <c r="F144" s="11" t="n"/>
      <c r="G144" s="11">
        <f>IF(E144="","",E144-N(F144))</f>
        <v/>
      </c>
    </row>
    <row r="145">
      <c r="A145" s="9" t="n"/>
      <c r="E145" s="11" t="n"/>
      <c r="F145" s="11" t="n"/>
      <c r="G145" s="11">
        <f>IF(E145="","",E145-N(F145))</f>
        <v/>
      </c>
    </row>
    <row r="146">
      <c r="A146" s="9" t="n"/>
      <c r="E146" s="11" t="n"/>
      <c r="F146" s="11" t="n"/>
      <c r="G146" s="11">
        <f>IF(E146="","",E146-N(F146))</f>
        <v/>
      </c>
    </row>
    <row r="147">
      <c r="A147" s="9" t="n"/>
      <c r="E147" s="11" t="n"/>
      <c r="F147" s="11" t="n"/>
      <c r="G147" s="11">
        <f>IF(E147="","",E147-N(F147))</f>
        <v/>
      </c>
    </row>
    <row r="148">
      <c r="A148" s="9" t="n"/>
      <c r="E148" s="11" t="n"/>
      <c r="F148" s="11" t="n"/>
      <c r="G148" s="11">
        <f>IF(E148="","",E148-N(F148))</f>
        <v/>
      </c>
    </row>
    <row r="149">
      <c r="A149" s="9" t="n"/>
      <c r="E149" s="11" t="n"/>
      <c r="F149" s="11" t="n"/>
      <c r="G149" s="11">
        <f>IF(E149="","",E149-N(F149))</f>
        <v/>
      </c>
    </row>
    <row r="150">
      <c r="A150" s="9" t="n"/>
      <c r="E150" s="11" t="n"/>
      <c r="F150" s="11" t="n"/>
      <c r="G150" s="11">
        <f>IF(E150="","",E150-N(F150))</f>
        <v/>
      </c>
    </row>
    <row r="151">
      <c r="A151" s="9" t="n"/>
      <c r="E151" s="11" t="n"/>
      <c r="F151" s="11" t="n"/>
      <c r="G151" s="11">
        <f>IF(E151="","",E151-N(F151))</f>
        <v/>
      </c>
    </row>
    <row r="152">
      <c r="A152" s="9" t="n"/>
      <c r="E152" s="11" t="n"/>
      <c r="F152" s="11" t="n"/>
      <c r="G152" s="11">
        <f>IF(E152="","",E152-N(F152))</f>
        <v/>
      </c>
    </row>
    <row r="153">
      <c r="A153" s="9" t="n"/>
      <c r="E153" s="11" t="n"/>
      <c r="F153" s="11" t="n"/>
      <c r="G153" s="11">
        <f>IF(E153="","",E153-N(F153))</f>
        <v/>
      </c>
    </row>
    <row r="154">
      <c r="A154" s="9" t="n"/>
      <c r="E154" s="11" t="n"/>
      <c r="F154" s="11" t="n"/>
      <c r="G154" s="11">
        <f>IF(E154="","",E154-N(F154))</f>
        <v/>
      </c>
    </row>
    <row r="155">
      <c r="A155" s="9" t="n"/>
      <c r="E155" s="11" t="n"/>
      <c r="F155" s="11" t="n"/>
      <c r="G155" s="11">
        <f>IF(E155="","",E155-N(F155))</f>
        <v/>
      </c>
    </row>
    <row r="156">
      <c r="A156" s="9" t="n"/>
      <c r="E156" s="11" t="n"/>
      <c r="F156" s="11" t="n"/>
      <c r="G156" s="11">
        <f>IF(E156="","",E156-N(F156))</f>
        <v/>
      </c>
    </row>
    <row r="157">
      <c r="A157" s="9" t="n"/>
      <c r="E157" s="11" t="n"/>
      <c r="F157" s="11" t="n"/>
      <c r="G157" s="11">
        <f>IF(E157="","",E157-N(F157))</f>
        <v/>
      </c>
    </row>
    <row r="158">
      <c r="A158" s="9" t="n"/>
      <c r="E158" s="11" t="n"/>
      <c r="F158" s="11" t="n"/>
      <c r="G158" s="11">
        <f>IF(E158="","",E158-N(F158))</f>
        <v/>
      </c>
    </row>
    <row r="159">
      <c r="A159" s="9" t="n"/>
      <c r="E159" s="11" t="n"/>
      <c r="F159" s="11" t="n"/>
      <c r="G159" s="11">
        <f>IF(E159="","",E159-N(F159))</f>
        <v/>
      </c>
    </row>
    <row r="160">
      <c r="A160" s="9" t="n"/>
      <c r="E160" s="11" t="n"/>
      <c r="F160" s="11" t="n"/>
      <c r="G160" s="11">
        <f>IF(E160="","",E160-N(F160))</f>
        <v/>
      </c>
    </row>
    <row r="161">
      <c r="A161" s="9" t="n"/>
      <c r="E161" s="11" t="n"/>
      <c r="F161" s="11" t="n"/>
      <c r="G161" s="11">
        <f>IF(E161="","",E161-N(F161))</f>
        <v/>
      </c>
    </row>
    <row r="162">
      <c r="A162" s="9" t="n"/>
      <c r="E162" s="11" t="n"/>
      <c r="F162" s="11" t="n"/>
      <c r="G162" s="11">
        <f>IF(E162="","",E162-N(F162))</f>
        <v/>
      </c>
    </row>
    <row r="163">
      <c r="A163" s="9" t="n"/>
      <c r="E163" s="11" t="n"/>
      <c r="F163" s="11" t="n"/>
      <c r="G163" s="11">
        <f>IF(E163="","",E163-N(F163))</f>
        <v/>
      </c>
    </row>
    <row r="164">
      <c r="A164" s="9" t="n"/>
      <c r="E164" s="11" t="n"/>
      <c r="F164" s="11" t="n"/>
      <c r="G164" s="11">
        <f>IF(E164="","",E164-N(F164))</f>
        <v/>
      </c>
    </row>
    <row r="165">
      <c r="A165" s="9" t="n"/>
      <c r="E165" s="11" t="n"/>
      <c r="F165" s="11" t="n"/>
      <c r="G165" s="11">
        <f>IF(E165="","",E165-N(F165))</f>
        <v/>
      </c>
    </row>
    <row r="166">
      <c r="A166" s="9" t="n"/>
      <c r="E166" s="11" t="n"/>
      <c r="F166" s="11" t="n"/>
      <c r="G166" s="11">
        <f>IF(E166="","",E166-N(F166))</f>
        <v/>
      </c>
    </row>
    <row r="167">
      <c r="A167" s="9" t="n"/>
      <c r="E167" s="11" t="n"/>
      <c r="F167" s="11" t="n"/>
      <c r="G167" s="11">
        <f>IF(E167="","",E167-N(F167))</f>
        <v/>
      </c>
    </row>
    <row r="168">
      <c r="A168" s="9" t="n"/>
      <c r="E168" s="11" t="n"/>
      <c r="F168" s="11" t="n"/>
      <c r="G168" s="11">
        <f>IF(E168="","",E168-N(F168))</f>
        <v/>
      </c>
    </row>
    <row r="169">
      <c r="A169" s="9" t="n"/>
      <c r="E169" s="11" t="n"/>
      <c r="F169" s="11" t="n"/>
      <c r="G169" s="11">
        <f>IF(E169="","",E169-N(F169))</f>
        <v/>
      </c>
    </row>
    <row r="170">
      <c r="A170" s="9" t="n"/>
      <c r="E170" s="11" t="n"/>
      <c r="F170" s="11" t="n"/>
      <c r="G170" s="11">
        <f>IF(E170="","",E170-N(F170))</f>
        <v/>
      </c>
    </row>
    <row r="171">
      <c r="A171" s="9" t="n"/>
      <c r="E171" s="11" t="n"/>
      <c r="F171" s="11" t="n"/>
      <c r="G171" s="11">
        <f>IF(E171="","",E171-N(F171))</f>
        <v/>
      </c>
    </row>
    <row r="172">
      <c r="A172" s="9" t="n"/>
      <c r="E172" s="11" t="n"/>
      <c r="F172" s="11" t="n"/>
      <c r="G172" s="11">
        <f>IF(E172="","",E172-N(F172))</f>
        <v/>
      </c>
    </row>
    <row r="173">
      <c r="A173" s="9" t="n"/>
      <c r="E173" s="11" t="n"/>
      <c r="F173" s="11" t="n"/>
      <c r="G173" s="11">
        <f>IF(E173="","",E173-N(F173))</f>
        <v/>
      </c>
    </row>
    <row r="174">
      <c r="A174" s="9" t="n"/>
      <c r="E174" s="11" t="n"/>
      <c r="F174" s="11" t="n"/>
      <c r="G174" s="11">
        <f>IF(E174="","",E174-N(F174))</f>
        <v/>
      </c>
    </row>
    <row r="175">
      <c r="A175" s="9" t="n"/>
      <c r="E175" s="11" t="n"/>
      <c r="F175" s="11" t="n"/>
      <c r="G175" s="11">
        <f>IF(E175="","",E175-N(F175))</f>
        <v/>
      </c>
    </row>
    <row r="176">
      <c r="A176" s="9" t="n"/>
      <c r="E176" s="11" t="n"/>
      <c r="F176" s="11" t="n"/>
      <c r="G176" s="11">
        <f>IF(E176="","",E176-N(F176))</f>
        <v/>
      </c>
    </row>
    <row r="177">
      <c r="A177" s="9" t="n"/>
      <c r="E177" s="11" t="n"/>
      <c r="F177" s="11" t="n"/>
      <c r="G177" s="11">
        <f>IF(E177="","",E177-N(F177))</f>
        <v/>
      </c>
    </row>
    <row r="178">
      <c r="A178" s="9" t="n"/>
      <c r="E178" s="11" t="n"/>
      <c r="F178" s="11" t="n"/>
      <c r="G178" s="11">
        <f>IF(E178="","",E178-N(F178))</f>
        <v/>
      </c>
    </row>
    <row r="179">
      <c r="A179" s="9" t="n"/>
      <c r="E179" s="11" t="n"/>
      <c r="F179" s="11" t="n"/>
      <c r="G179" s="11">
        <f>IF(E179="","",E179-N(F179))</f>
        <v/>
      </c>
    </row>
    <row r="180">
      <c r="A180" s="9" t="n"/>
      <c r="E180" s="11" t="n"/>
      <c r="F180" s="11" t="n"/>
      <c r="G180" s="11">
        <f>IF(E180="","",E180-N(F180))</f>
        <v/>
      </c>
    </row>
    <row r="181">
      <c r="A181" s="9" t="n"/>
      <c r="E181" s="11" t="n"/>
      <c r="F181" s="11" t="n"/>
      <c r="G181" s="11">
        <f>IF(E181="","",E181-N(F181))</f>
        <v/>
      </c>
    </row>
    <row r="182">
      <c r="A182" s="9" t="n"/>
      <c r="E182" s="11" t="n"/>
      <c r="F182" s="11" t="n"/>
      <c r="G182" s="11">
        <f>IF(E182="","",E182-N(F182))</f>
        <v/>
      </c>
    </row>
    <row r="183">
      <c r="A183" s="9" t="n"/>
      <c r="E183" s="11" t="n"/>
      <c r="F183" s="11" t="n"/>
      <c r="G183" s="11">
        <f>IF(E183="","",E183-N(F183))</f>
        <v/>
      </c>
    </row>
    <row r="184">
      <c r="A184" s="9" t="n"/>
      <c r="E184" s="11" t="n"/>
      <c r="F184" s="11" t="n"/>
      <c r="G184" s="11">
        <f>IF(E184="","",E184-N(F184))</f>
        <v/>
      </c>
    </row>
    <row r="185">
      <c r="A185" s="9" t="n"/>
      <c r="E185" s="11" t="n"/>
      <c r="F185" s="11" t="n"/>
      <c r="G185" s="11">
        <f>IF(E185="","",E185-N(F185))</f>
        <v/>
      </c>
    </row>
    <row r="186">
      <c r="A186" s="9" t="n"/>
      <c r="E186" s="11" t="n"/>
      <c r="F186" s="11" t="n"/>
      <c r="G186" s="11">
        <f>IF(E186="","",E186-N(F186))</f>
        <v/>
      </c>
    </row>
    <row r="187">
      <c r="A187" s="9" t="n"/>
      <c r="E187" s="11" t="n"/>
      <c r="F187" s="11" t="n"/>
      <c r="G187" s="11">
        <f>IF(E187="","",E187-N(F187))</f>
        <v/>
      </c>
    </row>
    <row r="188">
      <c r="A188" s="9" t="n"/>
      <c r="E188" s="11" t="n"/>
      <c r="F188" s="11" t="n"/>
      <c r="G188" s="11">
        <f>IF(E188="","",E188-N(F188))</f>
        <v/>
      </c>
    </row>
    <row r="189">
      <c r="A189" s="9" t="n"/>
      <c r="E189" s="11" t="n"/>
      <c r="F189" s="11" t="n"/>
      <c r="G189" s="11">
        <f>IF(E189="","",E189-N(F189))</f>
        <v/>
      </c>
    </row>
    <row r="190">
      <c r="A190" s="9" t="n"/>
      <c r="E190" s="11" t="n"/>
      <c r="F190" s="11" t="n"/>
      <c r="G190" s="11">
        <f>IF(E190="","",E190-N(F190))</f>
        <v/>
      </c>
    </row>
    <row r="191">
      <c r="A191" s="9" t="n"/>
      <c r="E191" s="11" t="n"/>
      <c r="F191" s="11" t="n"/>
      <c r="G191" s="11">
        <f>IF(E191="","",E191-N(F191))</f>
        <v/>
      </c>
    </row>
    <row r="192">
      <c r="A192" s="9" t="n"/>
      <c r="E192" s="11" t="n"/>
      <c r="F192" s="11" t="n"/>
      <c r="G192" s="11">
        <f>IF(E192="","",E192-N(F192))</f>
        <v/>
      </c>
    </row>
    <row r="193">
      <c r="A193" s="9" t="n"/>
      <c r="E193" s="11" t="n"/>
      <c r="F193" s="11" t="n"/>
      <c r="G193" s="11">
        <f>IF(E193="","",E193-N(F193))</f>
        <v/>
      </c>
    </row>
    <row r="194">
      <c r="A194" s="9" t="n"/>
      <c r="E194" s="11" t="n"/>
      <c r="F194" s="11" t="n"/>
      <c r="G194" s="11">
        <f>IF(E194="","",E194-N(F194))</f>
        <v/>
      </c>
    </row>
    <row r="195">
      <c r="A195" s="9" t="n"/>
      <c r="E195" s="11" t="n"/>
      <c r="F195" s="11" t="n"/>
      <c r="G195" s="11">
        <f>IF(E195="","",E195-N(F195))</f>
        <v/>
      </c>
    </row>
    <row r="196">
      <c r="A196" s="9" t="n"/>
      <c r="E196" s="11" t="n"/>
      <c r="F196" s="11" t="n"/>
      <c r="G196" s="11">
        <f>IF(E196="","",E196-N(F196))</f>
        <v/>
      </c>
    </row>
    <row r="197">
      <c r="A197" s="9" t="n"/>
      <c r="E197" s="11" t="n"/>
      <c r="F197" s="11" t="n"/>
      <c r="G197" s="11">
        <f>IF(E197="","",E197-N(F197))</f>
        <v/>
      </c>
    </row>
    <row r="198">
      <c r="A198" s="9" t="n"/>
      <c r="E198" s="11" t="n"/>
      <c r="F198" s="11" t="n"/>
      <c r="G198" s="11">
        <f>IF(E198="","",E198-N(F198))</f>
        <v/>
      </c>
    </row>
    <row r="199">
      <c r="A199" s="9" t="n"/>
      <c r="E199" s="11" t="n"/>
      <c r="F199" s="11" t="n"/>
      <c r="G199" s="11">
        <f>IF(E199="","",E199-N(F199))</f>
        <v/>
      </c>
    </row>
    <row r="200">
      <c r="A200" s="9" t="n"/>
      <c r="E200" s="11" t="n"/>
      <c r="F200" s="11" t="n"/>
      <c r="G200" s="11">
        <f>IF(E200="","",E200-N(F200))</f>
        <v/>
      </c>
    </row>
    <row r="201">
      <c r="A201" s="9" t="n"/>
      <c r="E201" s="11" t="n"/>
      <c r="F201" s="11" t="n"/>
      <c r="G201" s="11">
        <f>IF(E201="","",E201-N(F201))</f>
        <v/>
      </c>
    </row>
    <row r="202">
      <c r="A202" s="9" t="n"/>
      <c r="E202" s="11" t="n"/>
      <c r="F202" s="11" t="n"/>
      <c r="G202" s="11">
        <f>IF(E202="","",E202-N(F202))</f>
        <v/>
      </c>
    </row>
    <row r="203">
      <c r="A203" s="9" t="n"/>
      <c r="E203" s="11" t="n"/>
      <c r="F203" s="11" t="n"/>
      <c r="G203" s="11">
        <f>IF(E203="","",E203-N(F203))</f>
        <v/>
      </c>
    </row>
    <row r="204">
      <c r="A204" s="9" t="n"/>
      <c r="E204" s="11" t="n"/>
      <c r="F204" s="11" t="n"/>
      <c r="G204" s="11">
        <f>IF(E204="","",E204-N(F204))</f>
        <v/>
      </c>
    </row>
    <row r="205">
      <c r="A205" s="9" t="n"/>
      <c r="E205" s="11" t="n"/>
      <c r="F205" s="11" t="n"/>
      <c r="G205" s="11">
        <f>IF(E205="","",E205-N(F205))</f>
        <v/>
      </c>
    </row>
    <row r="206">
      <c r="A206" s="9" t="n"/>
      <c r="E206" s="11" t="n"/>
      <c r="F206" s="11" t="n"/>
      <c r="G206" s="11">
        <f>IF(E206="","",E206-N(F206))</f>
        <v/>
      </c>
    </row>
    <row r="207">
      <c r="A207" s="9" t="n"/>
      <c r="E207" s="11" t="n"/>
      <c r="F207" s="11" t="n"/>
      <c r="G207" s="11">
        <f>IF(E207="","",E207-N(F207))</f>
        <v/>
      </c>
    </row>
    <row r="208">
      <c r="A208" s="9" t="n"/>
      <c r="E208" s="11" t="n"/>
      <c r="F208" s="11" t="n"/>
      <c r="G208" s="11">
        <f>IF(E208="","",E208-N(F208))</f>
        <v/>
      </c>
    </row>
    <row r="209">
      <c r="A209" s="9" t="n"/>
      <c r="E209" s="11" t="n"/>
      <c r="F209" s="11" t="n"/>
      <c r="G209" s="11">
        <f>IF(E209="","",E209-N(F209))</f>
        <v/>
      </c>
    </row>
    <row r="210">
      <c r="A210" s="9" t="n"/>
      <c r="E210" s="11" t="n"/>
      <c r="F210" s="11" t="n"/>
      <c r="G210" s="11">
        <f>IF(E210="","",E210-N(F210))</f>
        <v/>
      </c>
    </row>
    <row r="211">
      <c r="A211" s="9" t="n"/>
      <c r="E211" s="11" t="n"/>
      <c r="F211" s="11" t="n"/>
      <c r="G211" s="11">
        <f>IF(E211="","",E211-N(F211))</f>
        <v/>
      </c>
    </row>
    <row r="212">
      <c r="A212" s="9" t="n"/>
      <c r="E212" s="11" t="n"/>
      <c r="F212" s="11" t="n"/>
      <c r="G212" s="11">
        <f>IF(E212="","",E212-N(F212))</f>
        <v/>
      </c>
    </row>
    <row r="213">
      <c r="A213" s="9" t="n"/>
      <c r="E213" s="11" t="n"/>
      <c r="F213" s="11" t="n"/>
      <c r="G213" s="11">
        <f>IF(E213="","",E213-N(F213))</f>
        <v/>
      </c>
    </row>
    <row r="214">
      <c r="A214" s="9" t="n"/>
      <c r="E214" s="11" t="n"/>
      <c r="F214" s="11" t="n"/>
      <c r="G214" s="11">
        <f>IF(E214="","",E214-N(F214))</f>
        <v/>
      </c>
    </row>
    <row r="215">
      <c r="A215" s="9" t="n"/>
      <c r="E215" s="11" t="n"/>
      <c r="F215" s="11" t="n"/>
      <c r="G215" s="11">
        <f>IF(E215="","",E215-N(F215))</f>
        <v/>
      </c>
    </row>
    <row r="216">
      <c r="A216" s="9" t="n"/>
      <c r="E216" s="11" t="n"/>
      <c r="F216" s="11" t="n"/>
      <c r="G216" s="11">
        <f>IF(E216="","",E216-N(F216))</f>
        <v/>
      </c>
    </row>
    <row r="217">
      <c r="A217" s="9" t="n"/>
      <c r="E217" s="11" t="n"/>
      <c r="F217" s="11" t="n"/>
      <c r="G217" s="11">
        <f>IF(E217="","",E217-N(F217))</f>
        <v/>
      </c>
    </row>
    <row r="218">
      <c r="A218" s="9" t="n"/>
      <c r="E218" s="11" t="n"/>
      <c r="F218" s="11" t="n"/>
      <c r="G218" s="11">
        <f>IF(E218="","",E218-N(F218))</f>
        <v/>
      </c>
    </row>
    <row r="219">
      <c r="A219" s="9" t="n"/>
      <c r="E219" s="11" t="n"/>
      <c r="F219" s="11" t="n"/>
      <c r="G219" s="11">
        <f>IF(E219="","",E219-N(F219))</f>
        <v/>
      </c>
    </row>
    <row r="220">
      <c r="A220" s="9" t="n"/>
      <c r="E220" s="11" t="n"/>
      <c r="F220" s="11" t="n"/>
      <c r="G220" s="11">
        <f>IF(E220="","",E220-N(F220))</f>
        <v/>
      </c>
    </row>
    <row r="221">
      <c r="A221" s="9" t="n"/>
      <c r="E221" s="11" t="n"/>
      <c r="F221" s="11" t="n"/>
      <c r="G221" s="11">
        <f>IF(E221="","",E221-N(F221))</f>
        <v/>
      </c>
    </row>
    <row r="222">
      <c r="A222" s="9" t="n"/>
      <c r="E222" s="11" t="n"/>
      <c r="F222" s="11" t="n"/>
      <c r="G222" s="11">
        <f>IF(E222="","",E222-N(F222))</f>
        <v/>
      </c>
    </row>
    <row r="223">
      <c r="A223" s="9" t="n"/>
      <c r="E223" s="11" t="n"/>
      <c r="F223" s="11" t="n"/>
      <c r="G223" s="11">
        <f>IF(E223="","",E223-N(F223))</f>
        <v/>
      </c>
    </row>
    <row r="224">
      <c r="A224" s="9" t="n"/>
      <c r="E224" s="11" t="n"/>
      <c r="F224" s="11" t="n"/>
      <c r="G224" s="11">
        <f>IF(E224="","",E224-N(F224))</f>
        <v/>
      </c>
    </row>
    <row r="225">
      <c r="A225" s="9" t="n"/>
      <c r="E225" s="11" t="n"/>
      <c r="F225" s="11" t="n"/>
      <c r="G225" s="11">
        <f>IF(E225="","",E225-N(F225))</f>
        <v/>
      </c>
    </row>
    <row r="226">
      <c r="A226" s="9" t="n"/>
      <c r="E226" s="11" t="n"/>
      <c r="F226" s="11" t="n"/>
      <c r="G226" s="11">
        <f>IF(E226="","",E226-N(F226))</f>
        <v/>
      </c>
    </row>
    <row r="227">
      <c r="A227" s="9" t="n"/>
      <c r="E227" s="11" t="n"/>
      <c r="F227" s="11" t="n"/>
      <c r="G227" s="11">
        <f>IF(E227="","",E227-N(F227))</f>
        <v/>
      </c>
    </row>
    <row r="228">
      <c r="A228" s="9" t="n"/>
      <c r="E228" s="11" t="n"/>
      <c r="F228" s="11" t="n"/>
      <c r="G228" s="11">
        <f>IF(E228="","",E228-N(F228))</f>
        <v/>
      </c>
    </row>
    <row r="229">
      <c r="A229" s="9" t="n"/>
      <c r="E229" s="11" t="n"/>
      <c r="F229" s="11" t="n"/>
      <c r="G229" s="11">
        <f>IF(E229="","",E229-N(F229))</f>
        <v/>
      </c>
    </row>
    <row r="230">
      <c r="A230" s="9" t="n"/>
      <c r="E230" s="11" t="n"/>
      <c r="F230" s="11" t="n"/>
      <c r="G230" s="11">
        <f>IF(E230="","",E230-N(F230))</f>
        <v/>
      </c>
    </row>
    <row r="231">
      <c r="A231" s="9" t="n"/>
      <c r="E231" s="11" t="n"/>
      <c r="F231" s="11" t="n"/>
      <c r="G231" s="11">
        <f>IF(E231="","",E231-N(F231))</f>
        <v/>
      </c>
    </row>
    <row r="232">
      <c r="A232" s="9" t="n"/>
      <c r="E232" s="11" t="n"/>
      <c r="F232" s="11" t="n"/>
      <c r="G232" s="11">
        <f>IF(E232="","",E232-N(F232))</f>
        <v/>
      </c>
    </row>
    <row r="233">
      <c r="A233" s="9" t="n"/>
      <c r="E233" s="11" t="n"/>
      <c r="F233" s="11" t="n"/>
      <c r="G233" s="11">
        <f>IF(E233="","",E233-N(F233))</f>
        <v/>
      </c>
    </row>
    <row r="234">
      <c r="A234" s="9" t="n"/>
      <c r="E234" s="11" t="n"/>
      <c r="F234" s="11" t="n"/>
      <c r="G234" s="11">
        <f>IF(E234="","",E234-N(F234))</f>
        <v/>
      </c>
    </row>
    <row r="235">
      <c r="A235" s="9" t="n"/>
      <c r="E235" s="11" t="n"/>
      <c r="F235" s="11" t="n"/>
      <c r="G235" s="11">
        <f>IF(E235="","",E235-N(F235))</f>
        <v/>
      </c>
    </row>
    <row r="236">
      <c r="A236" s="9" t="n"/>
      <c r="E236" s="11" t="n"/>
      <c r="F236" s="11" t="n"/>
      <c r="G236" s="11">
        <f>IF(E236="","",E236-N(F236))</f>
        <v/>
      </c>
    </row>
    <row r="237">
      <c r="A237" s="9" t="n"/>
      <c r="E237" s="11" t="n"/>
      <c r="F237" s="11" t="n"/>
      <c r="G237" s="11">
        <f>IF(E237="","",E237-N(F237))</f>
        <v/>
      </c>
    </row>
    <row r="238">
      <c r="A238" s="9" t="n"/>
      <c r="E238" s="11" t="n"/>
      <c r="F238" s="11" t="n"/>
      <c r="G238" s="11">
        <f>IF(E238="","",E238-N(F238))</f>
        <v/>
      </c>
    </row>
    <row r="239">
      <c r="A239" s="9" t="n"/>
      <c r="E239" s="11" t="n"/>
      <c r="F239" s="11" t="n"/>
      <c r="G239" s="11">
        <f>IF(E239="","",E239-N(F239))</f>
        <v/>
      </c>
    </row>
    <row r="240">
      <c r="A240" s="9" t="n"/>
      <c r="E240" s="11" t="n"/>
      <c r="F240" s="11" t="n"/>
      <c r="G240" s="11">
        <f>IF(E240="","",E240-N(F240))</f>
        <v/>
      </c>
    </row>
    <row r="241">
      <c r="A241" s="9" t="n"/>
      <c r="E241" s="11" t="n"/>
      <c r="F241" s="11" t="n"/>
      <c r="G241" s="11">
        <f>IF(E241="","",E241-N(F241))</f>
        <v/>
      </c>
    </row>
    <row r="242">
      <c r="A242" s="9" t="n"/>
      <c r="E242" s="11" t="n"/>
      <c r="F242" s="11" t="n"/>
      <c r="G242" s="11">
        <f>IF(E242="","",E242-N(F242))</f>
        <v/>
      </c>
    </row>
    <row r="243">
      <c r="A243" s="9" t="n"/>
      <c r="E243" s="11" t="n"/>
      <c r="F243" s="11" t="n"/>
      <c r="G243" s="11">
        <f>IF(E243="","",E243-N(F243))</f>
        <v/>
      </c>
    </row>
    <row r="244">
      <c r="A244" s="9" t="n"/>
      <c r="E244" s="11" t="n"/>
      <c r="F244" s="11" t="n"/>
      <c r="G244" s="11">
        <f>IF(E244="","",E244-N(F244))</f>
        <v/>
      </c>
    </row>
    <row r="245">
      <c r="A245" s="9" t="n"/>
      <c r="E245" s="11" t="n"/>
      <c r="F245" s="11" t="n"/>
      <c r="G245" s="11">
        <f>IF(E245="","",E245-N(F245))</f>
        <v/>
      </c>
    </row>
    <row r="246">
      <c r="A246" s="9" t="n"/>
      <c r="E246" s="11" t="n"/>
      <c r="F246" s="11" t="n"/>
      <c r="G246" s="11">
        <f>IF(E246="","",E246-N(F246))</f>
        <v/>
      </c>
    </row>
    <row r="247">
      <c r="A247" s="9" t="n"/>
      <c r="E247" s="11" t="n"/>
      <c r="F247" s="11" t="n"/>
      <c r="G247" s="11">
        <f>IF(E247="","",E247-N(F247))</f>
        <v/>
      </c>
    </row>
    <row r="248">
      <c r="A248" s="9" t="n"/>
      <c r="E248" s="11" t="n"/>
      <c r="F248" s="11" t="n"/>
      <c r="G248" s="11">
        <f>IF(E248="","",E248-N(F248))</f>
        <v/>
      </c>
    </row>
    <row r="249">
      <c r="A249" s="9" t="n"/>
      <c r="E249" s="11" t="n"/>
      <c r="F249" s="11" t="n"/>
      <c r="G249" s="11">
        <f>IF(E249="","",E249-N(F249))</f>
        <v/>
      </c>
    </row>
    <row r="250">
      <c r="A250" s="9" t="n"/>
      <c r="E250" s="11" t="n"/>
      <c r="F250" s="11" t="n"/>
      <c r="G250" s="11">
        <f>IF(E250="","",E250-N(F250))</f>
        <v/>
      </c>
    </row>
    <row r="251">
      <c r="A251" s="9" t="n"/>
      <c r="E251" s="11" t="n"/>
      <c r="F251" s="11" t="n"/>
      <c r="G251" s="11">
        <f>IF(E251="","",E251-N(F251))</f>
        <v/>
      </c>
    </row>
    <row r="252">
      <c r="A252" s="9" t="n"/>
      <c r="E252" s="11" t="n"/>
      <c r="F252" s="11" t="n"/>
      <c r="G252" s="11">
        <f>IF(E252="","",E252-N(F252))</f>
        <v/>
      </c>
    </row>
    <row r="253">
      <c r="A253" s="9" t="n"/>
      <c r="E253" s="11" t="n"/>
      <c r="F253" s="11" t="n"/>
      <c r="G253" s="11">
        <f>IF(E253="","",E253-N(F253))</f>
        <v/>
      </c>
    </row>
    <row r="254">
      <c r="A254" s="9" t="n"/>
      <c r="E254" s="11" t="n"/>
      <c r="F254" s="11" t="n"/>
      <c r="G254" s="11">
        <f>IF(E254="","",E254-N(F254))</f>
        <v/>
      </c>
    </row>
    <row r="255">
      <c r="A255" s="9" t="n"/>
      <c r="E255" s="11" t="n"/>
      <c r="F255" s="11" t="n"/>
      <c r="G255" s="11">
        <f>IF(E255="","",E255-N(F255))</f>
        <v/>
      </c>
    </row>
    <row r="256">
      <c r="A256" s="9" t="n"/>
      <c r="E256" s="11" t="n"/>
      <c r="F256" s="11" t="n"/>
      <c r="G256" s="11">
        <f>IF(E256="","",E256-N(F256))</f>
        <v/>
      </c>
    </row>
    <row r="257">
      <c r="A257" s="9" t="n"/>
      <c r="E257" s="11" t="n"/>
      <c r="F257" s="11" t="n"/>
      <c r="G257" s="11">
        <f>IF(E257="","",E257-N(F257))</f>
        <v/>
      </c>
    </row>
    <row r="258">
      <c r="A258" s="9" t="n"/>
      <c r="E258" s="11" t="n"/>
      <c r="F258" s="11" t="n"/>
      <c r="G258" s="11">
        <f>IF(E258="","",E258-N(F258))</f>
        <v/>
      </c>
    </row>
    <row r="259">
      <c r="A259" s="9" t="n"/>
      <c r="E259" s="11" t="n"/>
      <c r="F259" s="11" t="n"/>
      <c r="G259" s="11">
        <f>IF(E259="","",E259-N(F259))</f>
        <v/>
      </c>
    </row>
    <row r="260">
      <c r="A260" s="9" t="n"/>
      <c r="E260" s="11" t="n"/>
      <c r="F260" s="11" t="n"/>
      <c r="G260" s="11">
        <f>IF(E260="","",E260-N(F260))</f>
        <v/>
      </c>
    </row>
    <row r="261">
      <c r="A261" s="9" t="n"/>
      <c r="E261" s="11" t="n"/>
      <c r="F261" s="11" t="n"/>
      <c r="G261" s="11">
        <f>IF(E261="","",E261-N(F261))</f>
        <v/>
      </c>
    </row>
    <row r="262">
      <c r="A262" s="9" t="n"/>
      <c r="E262" s="11" t="n"/>
      <c r="F262" s="11" t="n"/>
      <c r="G262" s="11">
        <f>IF(E262="","",E262-N(F262))</f>
        <v/>
      </c>
    </row>
    <row r="263">
      <c r="A263" s="9" t="n"/>
      <c r="E263" s="11" t="n"/>
      <c r="F263" s="11" t="n"/>
      <c r="G263" s="11">
        <f>IF(E263="","",E263-N(F263))</f>
        <v/>
      </c>
    </row>
    <row r="264">
      <c r="A264" s="9" t="n"/>
      <c r="E264" s="11" t="n"/>
      <c r="F264" s="11" t="n"/>
      <c r="G264" s="11">
        <f>IF(E264="","",E264-N(F264))</f>
        <v/>
      </c>
    </row>
    <row r="265">
      <c r="A265" s="9" t="n"/>
      <c r="E265" s="11" t="n"/>
      <c r="F265" s="11" t="n"/>
      <c r="G265" s="11">
        <f>IF(E265="","",E265-N(F265))</f>
        <v/>
      </c>
    </row>
    <row r="266">
      <c r="A266" s="9" t="n"/>
      <c r="E266" s="11" t="n"/>
      <c r="F266" s="11" t="n"/>
      <c r="G266" s="11">
        <f>IF(E266="","",E266-N(F266))</f>
        <v/>
      </c>
    </row>
    <row r="267">
      <c r="A267" s="9" t="n"/>
      <c r="E267" s="11" t="n"/>
      <c r="F267" s="11" t="n"/>
      <c r="G267" s="11">
        <f>IF(E267="","",E267-N(F267))</f>
        <v/>
      </c>
    </row>
    <row r="268">
      <c r="A268" s="9" t="n"/>
      <c r="E268" s="11" t="n"/>
      <c r="F268" s="11" t="n"/>
      <c r="G268" s="11">
        <f>IF(E268="","",E268-N(F268))</f>
        <v/>
      </c>
    </row>
    <row r="269">
      <c r="A269" s="9" t="n"/>
      <c r="E269" s="11" t="n"/>
      <c r="F269" s="11" t="n"/>
      <c r="G269" s="11">
        <f>IF(E269="","",E269-N(F269))</f>
        <v/>
      </c>
    </row>
    <row r="270">
      <c r="A270" s="9" t="n"/>
      <c r="E270" s="11" t="n"/>
      <c r="F270" s="11" t="n"/>
      <c r="G270" s="11">
        <f>IF(E270="","",E270-N(F270))</f>
        <v/>
      </c>
    </row>
    <row r="271">
      <c r="A271" s="9" t="n"/>
      <c r="E271" s="11" t="n"/>
      <c r="F271" s="11" t="n"/>
      <c r="G271" s="11">
        <f>IF(E271="","",E271-N(F271))</f>
        <v/>
      </c>
    </row>
    <row r="272">
      <c r="A272" s="9" t="n"/>
      <c r="E272" s="11" t="n"/>
      <c r="F272" s="11" t="n"/>
      <c r="G272" s="11">
        <f>IF(E272="","",E272-N(F272))</f>
        <v/>
      </c>
    </row>
    <row r="273">
      <c r="A273" s="9" t="n"/>
      <c r="E273" s="11" t="n"/>
      <c r="F273" s="11" t="n"/>
      <c r="G273" s="11">
        <f>IF(E273="","",E273-N(F273))</f>
        <v/>
      </c>
    </row>
    <row r="274">
      <c r="A274" s="9" t="n"/>
      <c r="E274" s="11" t="n"/>
      <c r="F274" s="11" t="n"/>
      <c r="G274" s="11">
        <f>IF(E274="","",E274-N(F274))</f>
        <v/>
      </c>
    </row>
    <row r="275">
      <c r="A275" s="9" t="n"/>
      <c r="E275" s="11" t="n"/>
      <c r="F275" s="11" t="n"/>
      <c r="G275" s="11">
        <f>IF(E275="","",E275-N(F275))</f>
        <v/>
      </c>
    </row>
    <row r="276">
      <c r="A276" s="9" t="n"/>
      <c r="E276" s="11" t="n"/>
      <c r="F276" s="11" t="n"/>
      <c r="G276" s="11">
        <f>IF(E276="","",E276-N(F276))</f>
        <v/>
      </c>
    </row>
    <row r="277">
      <c r="A277" s="9" t="n"/>
      <c r="E277" s="11" t="n"/>
      <c r="F277" s="11" t="n"/>
      <c r="G277" s="11">
        <f>IF(E277="","",E277-N(F277))</f>
        <v/>
      </c>
    </row>
    <row r="278">
      <c r="A278" s="9" t="n"/>
      <c r="E278" s="11" t="n"/>
      <c r="F278" s="11" t="n"/>
      <c r="G278" s="11">
        <f>IF(E278="","",E278-N(F278))</f>
        <v/>
      </c>
    </row>
    <row r="279">
      <c r="A279" s="9" t="n"/>
      <c r="E279" s="11" t="n"/>
      <c r="F279" s="11" t="n"/>
      <c r="G279" s="11">
        <f>IF(E279="","",E279-N(F279))</f>
        <v/>
      </c>
    </row>
    <row r="280">
      <c r="A280" s="9" t="n"/>
      <c r="E280" s="11" t="n"/>
      <c r="F280" s="11" t="n"/>
      <c r="G280" s="11">
        <f>IF(E280="","",E280-N(F280))</f>
        <v/>
      </c>
    </row>
    <row r="281">
      <c r="A281" s="9" t="n"/>
      <c r="E281" s="11" t="n"/>
      <c r="F281" s="11" t="n"/>
      <c r="G281" s="11">
        <f>IF(E281="","",E281-N(F281))</f>
        <v/>
      </c>
    </row>
    <row r="282">
      <c r="A282" s="9" t="n"/>
      <c r="E282" s="11" t="n"/>
      <c r="F282" s="11" t="n"/>
      <c r="G282" s="11">
        <f>IF(E282="","",E282-N(F282))</f>
        <v/>
      </c>
    </row>
    <row r="283">
      <c r="A283" s="9" t="n"/>
      <c r="E283" s="11" t="n"/>
      <c r="F283" s="11" t="n"/>
      <c r="G283" s="11">
        <f>IF(E283="","",E283-N(F283))</f>
        <v/>
      </c>
    </row>
    <row r="284">
      <c r="A284" s="9" t="n"/>
      <c r="E284" s="11" t="n"/>
      <c r="F284" s="11" t="n"/>
      <c r="G284" s="11">
        <f>IF(E284="","",E284-N(F284))</f>
        <v/>
      </c>
    </row>
    <row r="285">
      <c r="A285" s="9" t="n"/>
      <c r="E285" s="11" t="n"/>
      <c r="F285" s="11" t="n"/>
      <c r="G285" s="11">
        <f>IF(E285="","",E285-N(F285))</f>
        <v/>
      </c>
    </row>
    <row r="286">
      <c r="A286" s="9" t="n"/>
      <c r="E286" s="11" t="n"/>
      <c r="F286" s="11" t="n"/>
      <c r="G286" s="11">
        <f>IF(E286="","",E286-N(F286))</f>
        <v/>
      </c>
    </row>
    <row r="287">
      <c r="A287" s="9" t="n"/>
      <c r="E287" s="11" t="n"/>
      <c r="F287" s="11" t="n"/>
      <c r="G287" s="11">
        <f>IF(E287="","",E287-N(F287))</f>
        <v/>
      </c>
    </row>
    <row r="288">
      <c r="A288" s="9" t="n"/>
      <c r="E288" s="11" t="n"/>
      <c r="F288" s="11" t="n"/>
      <c r="G288" s="11">
        <f>IF(E288="","",E288-N(F288))</f>
        <v/>
      </c>
    </row>
    <row r="289">
      <c r="A289" s="9" t="n"/>
      <c r="E289" s="11" t="n"/>
      <c r="F289" s="11" t="n"/>
      <c r="G289" s="11">
        <f>IF(E289="","",E289-N(F289))</f>
        <v/>
      </c>
    </row>
    <row r="290">
      <c r="A290" s="9" t="n"/>
      <c r="E290" s="11" t="n"/>
      <c r="F290" s="11" t="n"/>
      <c r="G290" s="11">
        <f>IF(E290="","",E290-N(F290))</f>
        <v/>
      </c>
    </row>
    <row r="291">
      <c r="A291" s="9" t="n"/>
      <c r="E291" s="11" t="n"/>
      <c r="F291" s="11" t="n"/>
      <c r="G291" s="11">
        <f>IF(E291="","",E291-N(F291))</f>
        <v/>
      </c>
    </row>
    <row r="292">
      <c r="A292" s="9" t="n"/>
      <c r="E292" s="11" t="n"/>
      <c r="F292" s="11" t="n"/>
      <c r="G292" s="11">
        <f>IF(E292="","",E292-N(F292))</f>
        <v/>
      </c>
    </row>
    <row r="293">
      <c r="A293" s="9" t="n"/>
      <c r="E293" s="11" t="n"/>
      <c r="F293" s="11" t="n"/>
      <c r="G293" s="11">
        <f>IF(E293="","",E293-N(F293))</f>
        <v/>
      </c>
    </row>
    <row r="294">
      <c r="A294" s="9" t="n"/>
      <c r="E294" s="11" t="n"/>
      <c r="F294" s="11" t="n"/>
      <c r="G294" s="11">
        <f>IF(E294="","",E294-N(F294))</f>
        <v/>
      </c>
    </row>
    <row r="295">
      <c r="A295" s="9" t="n"/>
      <c r="E295" s="11" t="n"/>
      <c r="F295" s="11" t="n"/>
      <c r="G295" s="11">
        <f>IF(E295="","",E295-N(F295))</f>
        <v/>
      </c>
    </row>
    <row r="296">
      <c r="A296" s="9" t="n"/>
      <c r="E296" s="11" t="n"/>
      <c r="F296" s="11" t="n"/>
      <c r="G296" s="11">
        <f>IF(E296="","",E296-N(F296))</f>
        <v/>
      </c>
    </row>
    <row r="297">
      <c r="A297" s="9" t="n"/>
      <c r="E297" s="11" t="n"/>
      <c r="F297" s="11" t="n"/>
      <c r="G297" s="11">
        <f>IF(E297="","",E297-N(F297))</f>
        <v/>
      </c>
    </row>
    <row r="298">
      <c r="A298" s="9" t="n"/>
      <c r="E298" s="11" t="n"/>
      <c r="F298" s="11" t="n"/>
      <c r="G298" s="11">
        <f>IF(E298="","",E298-N(F298))</f>
        <v/>
      </c>
    </row>
    <row r="299">
      <c r="A299" s="9" t="n"/>
      <c r="E299" s="11" t="n"/>
      <c r="F299" s="11" t="n"/>
      <c r="G299" s="11">
        <f>IF(E299="","",E299-N(F299))</f>
        <v/>
      </c>
    </row>
    <row r="300">
      <c r="A300" s="9" t="n"/>
      <c r="E300" s="11" t="n"/>
      <c r="F300" s="11" t="n"/>
      <c r="G300" s="11">
        <f>IF(E300="","",E300-N(F300))</f>
        <v/>
      </c>
    </row>
    <row r="301">
      <c r="A301" s="9" t="n"/>
      <c r="E301" s="11" t="n"/>
      <c r="F301" s="11" t="n"/>
      <c r="G301" s="11">
        <f>IF(E301="","",E301-N(F301))</f>
        <v/>
      </c>
    </row>
    <row r="302">
      <c r="A302" s="9" t="n"/>
      <c r="E302" s="11" t="n"/>
      <c r="F302" s="11" t="n"/>
      <c r="G302" s="11">
        <f>IF(E302="","",E302-N(F302))</f>
        <v/>
      </c>
    </row>
    <row r="303">
      <c r="A303" s="9" t="n"/>
      <c r="E303" s="11" t="n"/>
      <c r="F303" s="11" t="n"/>
      <c r="G303" s="11">
        <f>IF(E303="","",E303-N(F303))</f>
        <v/>
      </c>
    </row>
    <row r="304">
      <c r="A304" s="9" t="n"/>
      <c r="E304" s="11" t="n"/>
      <c r="F304" s="11" t="n"/>
      <c r="G304" s="11">
        <f>IF(E304="","",E304-N(F304))</f>
        <v/>
      </c>
    </row>
    <row r="305">
      <c r="A305" s="9" t="n"/>
      <c r="E305" s="11" t="n"/>
      <c r="F305" s="11" t="n"/>
      <c r="G305" s="11">
        <f>IF(E305="","",E305-N(F305))</f>
        <v/>
      </c>
    </row>
    <row r="306">
      <c r="A306" s="9" t="n"/>
      <c r="E306" s="11" t="n"/>
      <c r="F306" s="11" t="n"/>
      <c r="G306" s="11">
        <f>IF(E306="","",E306-N(F306))</f>
        <v/>
      </c>
    </row>
    <row r="307">
      <c r="A307" s="9" t="n"/>
      <c r="E307" s="11" t="n"/>
      <c r="F307" s="11" t="n"/>
      <c r="G307" s="11">
        <f>IF(E307="","",E307-N(F307))</f>
        <v/>
      </c>
    </row>
    <row r="308">
      <c r="A308" s="9" t="n"/>
      <c r="E308" s="11" t="n"/>
      <c r="F308" s="11" t="n"/>
      <c r="G308" s="11">
        <f>IF(E308="","",E308-N(F308))</f>
        <v/>
      </c>
    </row>
    <row r="309">
      <c r="A309" s="9" t="n"/>
      <c r="E309" s="11" t="n"/>
      <c r="F309" s="11" t="n"/>
      <c r="G309" s="11">
        <f>IF(E309="","",E309-N(F309))</f>
        <v/>
      </c>
    </row>
    <row r="310">
      <c r="A310" s="9" t="n"/>
      <c r="E310" s="11" t="n"/>
      <c r="F310" s="11" t="n"/>
      <c r="G310" s="11">
        <f>IF(E310="","",E310-N(F310))</f>
        <v/>
      </c>
    </row>
    <row r="311">
      <c r="A311" s="9" t="n"/>
      <c r="E311" s="11" t="n"/>
      <c r="F311" s="11" t="n"/>
      <c r="G311" s="11">
        <f>IF(E311="","",E311-N(F311))</f>
        <v/>
      </c>
    </row>
    <row r="312">
      <c r="A312" s="9" t="n"/>
      <c r="E312" s="11" t="n"/>
      <c r="F312" s="11" t="n"/>
      <c r="G312" s="11">
        <f>IF(E312="","",E312-N(F312))</f>
        <v/>
      </c>
    </row>
    <row r="313">
      <c r="A313" s="9" t="n"/>
      <c r="E313" s="11" t="n"/>
      <c r="F313" s="11" t="n"/>
      <c r="G313" s="11">
        <f>IF(E313="","",E313-N(F313))</f>
        <v/>
      </c>
    </row>
    <row r="314">
      <c r="A314" s="9" t="n"/>
      <c r="E314" s="11" t="n"/>
      <c r="F314" s="11" t="n"/>
      <c r="G314" s="11">
        <f>IF(E314="","",E314-N(F314))</f>
        <v/>
      </c>
    </row>
    <row r="315">
      <c r="A315" s="9" t="n"/>
      <c r="E315" s="11" t="n"/>
      <c r="F315" s="11" t="n"/>
      <c r="G315" s="11">
        <f>IF(E315="","",E315-N(F315))</f>
        <v/>
      </c>
    </row>
    <row r="316">
      <c r="A316" s="9" t="n"/>
      <c r="E316" s="11" t="n"/>
      <c r="F316" s="11" t="n"/>
      <c r="G316" s="11">
        <f>IF(E316="","",E316-N(F316))</f>
        <v/>
      </c>
    </row>
    <row r="317">
      <c r="A317" s="9" t="n"/>
      <c r="E317" s="11" t="n"/>
      <c r="F317" s="11" t="n"/>
      <c r="G317" s="11">
        <f>IF(E317="","",E317-N(F317))</f>
        <v/>
      </c>
    </row>
    <row r="318">
      <c r="A318" s="9" t="n"/>
      <c r="E318" s="11" t="n"/>
      <c r="F318" s="11" t="n"/>
      <c r="G318" s="11">
        <f>IF(E318="","",E318-N(F318))</f>
        <v/>
      </c>
    </row>
    <row r="319">
      <c r="A319" s="9" t="n"/>
      <c r="E319" s="11" t="n"/>
      <c r="F319" s="11" t="n"/>
      <c r="G319" s="11">
        <f>IF(E319="","",E319-N(F319))</f>
        <v/>
      </c>
    </row>
    <row r="320">
      <c r="A320" s="9" t="n"/>
      <c r="E320" s="11" t="n"/>
      <c r="F320" s="11" t="n"/>
      <c r="G320" s="11">
        <f>IF(E320="","",E320-N(F320))</f>
        <v/>
      </c>
    </row>
    <row r="321">
      <c r="A321" s="9" t="n"/>
      <c r="E321" s="11" t="n"/>
      <c r="F321" s="11" t="n"/>
      <c r="G321" s="11">
        <f>IF(E321="","",E321-N(F321))</f>
        <v/>
      </c>
    </row>
    <row r="322">
      <c r="A322" s="9" t="n"/>
      <c r="E322" s="11" t="n"/>
      <c r="F322" s="11" t="n"/>
      <c r="G322" s="11">
        <f>IF(E322="","",E322-N(F322))</f>
        <v/>
      </c>
    </row>
    <row r="323">
      <c r="A323" s="9" t="n"/>
      <c r="E323" s="11" t="n"/>
      <c r="F323" s="11" t="n"/>
      <c r="G323" s="11">
        <f>IF(E323="","",E323-N(F323))</f>
        <v/>
      </c>
    </row>
    <row r="324">
      <c r="A324" s="9" t="n"/>
      <c r="E324" s="11" t="n"/>
      <c r="F324" s="11" t="n"/>
      <c r="G324" s="11">
        <f>IF(E324="","",E324-N(F324))</f>
        <v/>
      </c>
    </row>
    <row r="325">
      <c r="A325" s="9" t="n"/>
      <c r="E325" s="11" t="n"/>
      <c r="F325" s="11" t="n"/>
      <c r="G325" s="11">
        <f>IF(E325="","",E325-N(F325))</f>
        <v/>
      </c>
    </row>
    <row r="326">
      <c r="A326" s="9" t="n"/>
      <c r="E326" s="11" t="n"/>
      <c r="F326" s="11" t="n"/>
      <c r="G326" s="11">
        <f>IF(E326="","",E326-N(F326))</f>
        <v/>
      </c>
    </row>
    <row r="327">
      <c r="A327" s="9" t="n"/>
      <c r="E327" s="11" t="n"/>
      <c r="F327" s="11" t="n"/>
      <c r="G327" s="11">
        <f>IF(E327="","",E327-N(F327))</f>
        <v/>
      </c>
    </row>
    <row r="328">
      <c r="A328" s="9" t="n"/>
      <c r="E328" s="11" t="n"/>
      <c r="F328" s="11" t="n"/>
      <c r="G328" s="11">
        <f>IF(E328="","",E328-N(F328))</f>
        <v/>
      </c>
    </row>
    <row r="329">
      <c r="A329" s="9" t="n"/>
      <c r="E329" s="11" t="n"/>
      <c r="F329" s="11" t="n"/>
      <c r="G329" s="11">
        <f>IF(E329="","",E329-N(F329))</f>
        <v/>
      </c>
    </row>
    <row r="330">
      <c r="A330" s="9" t="n"/>
      <c r="E330" s="11" t="n"/>
      <c r="F330" s="11" t="n"/>
      <c r="G330" s="11">
        <f>IF(E330="","",E330-N(F330))</f>
        <v/>
      </c>
    </row>
    <row r="331">
      <c r="A331" s="9" t="n"/>
      <c r="E331" s="11" t="n"/>
      <c r="F331" s="11" t="n"/>
      <c r="G331" s="11">
        <f>IF(E331="","",E331-N(F331))</f>
        <v/>
      </c>
    </row>
    <row r="332">
      <c r="A332" s="9" t="n"/>
      <c r="E332" s="11" t="n"/>
      <c r="F332" s="11" t="n"/>
      <c r="G332" s="11">
        <f>IF(E332="","",E332-N(F332))</f>
        <v/>
      </c>
    </row>
    <row r="333">
      <c r="A333" s="9" t="n"/>
      <c r="E333" s="11" t="n"/>
      <c r="F333" s="11" t="n"/>
      <c r="G333" s="11">
        <f>IF(E333="","",E333-N(F333))</f>
        <v/>
      </c>
    </row>
    <row r="334">
      <c r="A334" s="9" t="n"/>
      <c r="E334" s="11" t="n"/>
      <c r="F334" s="11" t="n"/>
      <c r="G334" s="11">
        <f>IF(E334="","",E334-N(F334))</f>
        <v/>
      </c>
    </row>
    <row r="335">
      <c r="A335" s="9" t="n"/>
      <c r="E335" s="11" t="n"/>
      <c r="F335" s="11" t="n"/>
      <c r="G335" s="11">
        <f>IF(E335="","",E335-N(F335))</f>
        <v/>
      </c>
    </row>
    <row r="336">
      <c r="A336" s="9" t="n"/>
      <c r="E336" s="11" t="n"/>
      <c r="F336" s="11" t="n"/>
      <c r="G336" s="11">
        <f>IF(E336="","",E336-N(F336))</f>
        <v/>
      </c>
    </row>
    <row r="337">
      <c r="A337" s="9" t="n"/>
      <c r="E337" s="11" t="n"/>
      <c r="F337" s="11" t="n"/>
      <c r="G337" s="11">
        <f>IF(E337="","",E337-N(F337))</f>
        <v/>
      </c>
    </row>
    <row r="338">
      <c r="A338" s="9" t="n"/>
      <c r="E338" s="11" t="n"/>
      <c r="F338" s="11" t="n"/>
      <c r="G338" s="11">
        <f>IF(E338="","",E338-N(F338))</f>
        <v/>
      </c>
    </row>
    <row r="339">
      <c r="A339" s="9" t="n"/>
      <c r="E339" s="11" t="n"/>
      <c r="F339" s="11" t="n"/>
      <c r="G339" s="11">
        <f>IF(E339="","",E339-N(F339))</f>
        <v/>
      </c>
    </row>
    <row r="340">
      <c r="A340" s="9" t="n"/>
      <c r="E340" s="11" t="n"/>
      <c r="F340" s="11" t="n"/>
      <c r="G340" s="11">
        <f>IF(E340="","",E340-N(F340))</f>
        <v/>
      </c>
    </row>
    <row r="341">
      <c r="A341" s="9" t="n"/>
      <c r="E341" s="11" t="n"/>
      <c r="F341" s="11" t="n"/>
      <c r="G341" s="11">
        <f>IF(E341="","",E341-N(F341))</f>
        <v/>
      </c>
    </row>
    <row r="342">
      <c r="A342" s="9" t="n"/>
      <c r="E342" s="11" t="n"/>
      <c r="F342" s="11" t="n"/>
      <c r="G342" s="11">
        <f>IF(E342="","",E342-N(F342))</f>
        <v/>
      </c>
    </row>
    <row r="343">
      <c r="A343" s="9" t="n"/>
      <c r="E343" s="11" t="n"/>
      <c r="F343" s="11" t="n"/>
      <c r="G343" s="11">
        <f>IF(E343="","",E343-N(F343))</f>
        <v/>
      </c>
    </row>
    <row r="344">
      <c r="A344" s="9" t="n"/>
      <c r="E344" s="11" t="n"/>
      <c r="F344" s="11" t="n"/>
      <c r="G344" s="11">
        <f>IF(E344="","",E344-N(F344))</f>
        <v/>
      </c>
    </row>
    <row r="345">
      <c r="A345" s="9" t="n"/>
      <c r="E345" s="11" t="n"/>
      <c r="F345" s="11" t="n"/>
      <c r="G345" s="11">
        <f>IF(E345="","",E345-N(F345))</f>
        <v/>
      </c>
    </row>
    <row r="346">
      <c r="A346" s="9" t="n"/>
      <c r="E346" s="11" t="n"/>
      <c r="F346" s="11" t="n"/>
      <c r="G346" s="11">
        <f>IF(E346="","",E346-N(F346))</f>
        <v/>
      </c>
    </row>
    <row r="347">
      <c r="A347" s="9" t="n"/>
      <c r="E347" s="11" t="n"/>
      <c r="F347" s="11" t="n"/>
      <c r="G347" s="11">
        <f>IF(E347="","",E347-N(F347))</f>
        <v/>
      </c>
    </row>
    <row r="348">
      <c r="A348" s="9" t="n"/>
      <c r="E348" s="11" t="n"/>
      <c r="F348" s="11" t="n"/>
      <c r="G348" s="11">
        <f>IF(E348="","",E348-N(F348))</f>
        <v/>
      </c>
    </row>
    <row r="349">
      <c r="A349" s="9" t="n"/>
      <c r="E349" s="11" t="n"/>
      <c r="F349" s="11" t="n"/>
      <c r="G349" s="11">
        <f>IF(E349="","",E349-N(F349))</f>
        <v/>
      </c>
    </row>
    <row r="350">
      <c r="A350" s="9" t="n"/>
      <c r="E350" s="11" t="n"/>
      <c r="F350" s="11" t="n"/>
      <c r="G350" s="11">
        <f>IF(E350="","",E350-N(F350))</f>
        <v/>
      </c>
    </row>
    <row r="351">
      <c r="A351" s="9" t="n"/>
      <c r="E351" s="11" t="n"/>
      <c r="F351" s="11" t="n"/>
      <c r="G351" s="11">
        <f>IF(E351="","",E351-N(F351))</f>
        <v/>
      </c>
    </row>
    <row r="352">
      <c r="A352" s="9" t="n"/>
      <c r="E352" s="11" t="n"/>
      <c r="F352" s="11" t="n"/>
      <c r="G352" s="11">
        <f>IF(E352="","",E352-N(F352))</f>
        <v/>
      </c>
    </row>
    <row r="353">
      <c r="A353" s="9" t="n"/>
      <c r="E353" s="11" t="n"/>
      <c r="F353" s="11" t="n"/>
      <c r="G353" s="11">
        <f>IF(E353="","",E353-N(F353))</f>
        <v/>
      </c>
    </row>
    <row r="354">
      <c r="A354" s="9" t="n"/>
      <c r="E354" s="11" t="n"/>
      <c r="F354" s="11" t="n"/>
      <c r="G354" s="11">
        <f>IF(E354="","",E354-N(F354))</f>
        <v/>
      </c>
    </row>
    <row r="355">
      <c r="A355" s="9" t="n"/>
      <c r="E355" s="11" t="n"/>
      <c r="F355" s="11" t="n"/>
      <c r="G355" s="11">
        <f>IF(E355="","",E355-N(F355))</f>
        <v/>
      </c>
    </row>
    <row r="356">
      <c r="A356" s="9" t="n"/>
      <c r="E356" s="11" t="n"/>
      <c r="F356" s="11" t="n"/>
      <c r="G356" s="11">
        <f>IF(E356="","",E356-N(F356))</f>
        <v/>
      </c>
    </row>
    <row r="357">
      <c r="A357" s="9" t="n"/>
      <c r="E357" s="11" t="n"/>
      <c r="F357" s="11" t="n"/>
      <c r="G357" s="11">
        <f>IF(E357="","",E357-N(F357))</f>
        <v/>
      </c>
    </row>
    <row r="358">
      <c r="A358" s="9" t="n"/>
      <c r="E358" s="11" t="n"/>
      <c r="F358" s="11" t="n"/>
      <c r="G358" s="11">
        <f>IF(E358="","",E358-N(F358))</f>
        <v/>
      </c>
    </row>
    <row r="359">
      <c r="A359" s="9" t="n"/>
      <c r="E359" s="11" t="n"/>
      <c r="F359" s="11" t="n"/>
      <c r="G359" s="11">
        <f>IF(E359="","",E359-N(F359))</f>
        <v/>
      </c>
    </row>
    <row r="360">
      <c r="A360" s="9" t="n"/>
      <c r="E360" s="11" t="n"/>
      <c r="F360" s="11" t="n"/>
      <c r="G360" s="11">
        <f>IF(E360="","",E360-N(F360))</f>
        <v/>
      </c>
    </row>
    <row r="361">
      <c r="A361" s="9" t="n"/>
      <c r="E361" s="11" t="n"/>
      <c r="F361" s="11" t="n"/>
      <c r="G361" s="11">
        <f>IF(E361="","",E361-N(F361))</f>
        <v/>
      </c>
    </row>
    <row r="362">
      <c r="A362" s="9" t="n"/>
      <c r="E362" s="11" t="n"/>
      <c r="F362" s="11" t="n"/>
      <c r="G362" s="11">
        <f>IF(E362="","",E362-N(F362))</f>
        <v/>
      </c>
    </row>
    <row r="363">
      <c r="A363" s="9" t="n"/>
      <c r="E363" s="11" t="n"/>
      <c r="F363" s="11" t="n"/>
      <c r="G363" s="11">
        <f>IF(E363="","",E363-N(F363))</f>
        <v/>
      </c>
    </row>
    <row r="364">
      <c r="A364" s="9" t="n"/>
      <c r="E364" s="11" t="n"/>
      <c r="F364" s="11" t="n"/>
      <c r="G364" s="11">
        <f>IF(E364="","",E364-N(F364))</f>
        <v/>
      </c>
    </row>
    <row r="365">
      <c r="A365" s="9" t="n"/>
      <c r="E365" s="11" t="n"/>
      <c r="F365" s="11" t="n"/>
      <c r="G365" s="11">
        <f>IF(E365="","",E365-N(F365))</f>
        <v/>
      </c>
    </row>
    <row r="366">
      <c r="A366" s="9" t="n"/>
      <c r="E366" s="11" t="n"/>
      <c r="F366" s="11" t="n"/>
      <c r="G366" s="11">
        <f>IF(E366="","",E366-N(F366))</f>
        <v/>
      </c>
    </row>
    <row r="367">
      <c r="A367" s="9" t="n"/>
      <c r="E367" s="11" t="n"/>
      <c r="F367" s="11" t="n"/>
      <c r="G367" s="11">
        <f>IF(E367="","",E367-N(F367))</f>
        <v/>
      </c>
    </row>
    <row r="368">
      <c r="A368" s="9" t="n"/>
      <c r="E368" s="11" t="n"/>
      <c r="F368" s="11" t="n"/>
      <c r="G368" s="11">
        <f>IF(E368="","",E368-N(F368))</f>
        <v/>
      </c>
    </row>
    <row r="369">
      <c r="A369" s="9" t="n"/>
      <c r="E369" s="11" t="n"/>
      <c r="F369" s="11" t="n"/>
      <c r="G369" s="11">
        <f>IF(E369="","",E369-N(F369))</f>
        <v/>
      </c>
    </row>
    <row r="370">
      <c r="A370" s="9" t="n"/>
      <c r="E370" s="11" t="n"/>
      <c r="F370" s="11" t="n"/>
      <c r="G370" s="11">
        <f>IF(E370="","",E370-N(F370))</f>
        <v/>
      </c>
    </row>
    <row r="371">
      <c r="A371" s="9" t="n"/>
      <c r="E371" s="11" t="n"/>
      <c r="F371" s="11" t="n"/>
      <c r="G371" s="11">
        <f>IF(E371="","",E371-N(F371))</f>
        <v/>
      </c>
    </row>
    <row r="372">
      <c r="A372" s="9" t="n"/>
      <c r="E372" s="11" t="n"/>
      <c r="F372" s="11" t="n"/>
      <c r="G372" s="11">
        <f>IF(E372="","",E372-N(F372))</f>
        <v/>
      </c>
    </row>
    <row r="373">
      <c r="A373" s="9" t="n"/>
      <c r="E373" s="11" t="n"/>
      <c r="F373" s="11" t="n"/>
      <c r="G373" s="11">
        <f>IF(E373="","",E373-N(F373))</f>
        <v/>
      </c>
    </row>
    <row r="374">
      <c r="A374" s="9" t="n"/>
      <c r="E374" s="11" t="n"/>
      <c r="F374" s="11" t="n"/>
      <c r="G374" s="11">
        <f>IF(E374="","",E374-N(F374))</f>
        <v/>
      </c>
    </row>
    <row r="375">
      <c r="A375" s="9" t="n"/>
      <c r="E375" s="11" t="n"/>
      <c r="F375" s="11" t="n"/>
      <c r="G375" s="11">
        <f>IF(E375="","",E375-N(F375))</f>
        <v/>
      </c>
    </row>
    <row r="376">
      <c r="A376" s="9" t="n"/>
      <c r="E376" s="11" t="n"/>
      <c r="F376" s="11" t="n"/>
      <c r="G376" s="11">
        <f>IF(E376="","",E376-N(F376))</f>
        <v/>
      </c>
    </row>
    <row r="377">
      <c r="A377" s="9" t="n"/>
      <c r="E377" s="11" t="n"/>
      <c r="F377" s="11" t="n"/>
      <c r="G377" s="11">
        <f>IF(E377="","",E377-N(F377))</f>
        <v/>
      </c>
    </row>
    <row r="378">
      <c r="A378" s="9" t="n"/>
      <c r="E378" s="11" t="n"/>
      <c r="F378" s="11" t="n"/>
      <c r="G378" s="11">
        <f>IF(E378="","",E378-N(F378))</f>
        <v/>
      </c>
    </row>
    <row r="379">
      <c r="A379" s="9" t="n"/>
      <c r="E379" s="11" t="n"/>
      <c r="F379" s="11" t="n"/>
      <c r="G379" s="11">
        <f>IF(E379="","",E379-N(F379))</f>
        <v/>
      </c>
    </row>
    <row r="380">
      <c r="A380" s="9" t="n"/>
      <c r="E380" s="11" t="n"/>
      <c r="F380" s="11" t="n"/>
      <c r="G380" s="11">
        <f>IF(E380="","",E380-N(F380))</f>
        <v/>
      </c>
    </row>
    <row r="381">
      <c r="A381" s="9" t="n"/>
      <c r="E381" s="11" t="n"/>
      <c r="F381" s="11" t="n"/>
      <c r="G381" s="11">
        <f>IF(E381="","",E381-N(F381))</f>
        <v/>
      </c>
    </row>
    <row r="382">
      <c r="A382" s="9" t="n"/>
      <c r="E382" s="11" t="n"/>
      <c r="F382" s="11" t="n"/>
      <c r="G382" s="11">
        <f>IF(E382="","",E382-N(F382))</f>
        <v/>
      </c>
    </row>
    <row r="383">
      <c r="A383" s="9" t="n"/>
      <c r="E383" s="11" t="n"/>
      <c r="F383" s="11" t="n"/>
      <c r="G383" s="11">
        <f>IF(E383="","",E383-N(F383))</f>
        <v/>
      </c>
    </row>
    <row r="384">
      <c r="A384" s="9" t="n"/>
      <c r="E384" s="11" t="n"/>
      <c r="F384" s="11" t="n"/>
      <c r="G384" s="11">
        <f>IF(E384="","",E384-N(F384))</f>
        <v/>
      </c>
    </row>
    <row r="385">
      <c r="A385" s="9" t="n"/>
      <c r="E385" s="11" t="n"/>
      <c r="F385" s="11" t="n"/>
      <c r="G385" s="11">
        <f>IF(E385="","",E385-N(F385))</f>
        <v/>
      </c>
    </row>
    <row r="386">
      <c r="A386" s="9" t="n"/>
      <c r="E386" s="11" t="n"/>
      <c r="F386" s="11" t="n"/>
      <c r="G386" s="11">
        <f>IF(E386="","",E386-N(F386))</f>
        <v/>
      </c>
    </row>
    <row r="387">
      <c r="A387" s="9" t="n"/>
      <c r="E387" s="11" t="n"/>
      <c r="F387" s="11" t="n"/>
      <c r="G387" s="11">
        <f>IF(E387="","",E387-N(F387))</f>
        <v/>
      </c>
    </row>
    <row r="388">
      <c r="A388" s="9" t="n"/>
      <c r="E388" s="11" t="n"/>
      <c r="F388" s="11" t="n"/>
      <c r="G388" s="11">
        <f>IF(E388="","",E388-N(F388))</f>
        <v/>
      </c>
    </row>
    <row r="389">
      <c r="A389" s="9" t="n"/>
      <c r="E389" s="11" t="n"/>
      <c r="F389" s="11" t="n"/>
      <c r="G389" s="11">
        <f>IF(E389="","",E389-N(F389))</f>
        <v/>
      </c>
    </row>
    <row r="390">
      <c r="A390" s="9" t="n"/>
      <c r="E390" s="11" t="n"/>
      <c r="F390" s="11" t="n"/>
      <c r="G390" s="11">
        <f>IF(E390="","",E390-N(F390))</f>
        <v/>
      </c>
    </row>
    <row r="391">
      <c r="A391" s="9" t="n"/>
      <c r="E391" s="11" t="n"/>
      <c r="F391" s="11" t="n"/>
      <c r="G391" s="11">
        <f>IF(E391="","",E391-N(F391))</f>
        <v/>
      </c>
    </row>
    <row r="392">
      <c r="A392" s="9" t="n"/>
      <c r="E392" s="11" t="n"/>
      <c r="F392" s="11" t="n"/>
      <c r="G392" s="11">
        <f>IF(E392="","",E392-N(F392))</f>
        <v/>
      </c>
    </row>
    <row r="393">
      <c r="A393" s="9" t="n"/>
      <c r="E393" s="11" t="n"/>
      <c r="F393" s="11" t="n"/>
      <c r="G393" s="11">
        <f>IF(E393="","",E393-N(F393))</f>
        <v/>
      </c>
    </row>
    <row r="394">
      <c r="A394" s="9" t="n"/>
      <c r="E394" s="11" t="n"/>
      <c r="F394" s="11" t="n"/>
      <c r="G394" s="11">
        <f>IF(E394="","",E394-N(F394))</f>
        <v/>
      </c>
    </row>
    <row r="395">
      <c r="A395" s="9" t="n"/>
      <c r="E395" s="11" t="n"/>
      <c r="F395" s="11" t="n"/>
      <c r="G395" s="11">
        <f>IF(E395="","",E395-N(F395))</f>
        <v/>
      </c>
    </row>
    <row r="396">
      <c r="A396" s="9" t="n"/>
      <c r="E396" s="11" t="n"/>
      <c r="F396" s="11" t="n"/>
      <c r="G396" s="11">
        <f>IF(E396="","",E396-N(F396))</f>
        <v/>
      </c>
    </row>
    <row r="397">
      <c r="A397" s="9" t="n"/>
      <c r="E397" s="11" t="n"/>
      <c r="F397" s="11" t="n"/>
      <c r="G397" s="11">
        <f>IF(E397="","",E397-N(F397))</f>
        <v/>
      </c>
    </row>
    <row r="398">
      <c r="A398" s="9" t="n"/>
      <c r="E398" s="11" t="n"/>
      <c r="F398" s="11" t="n"/>
      <c r="G398" s="11">
        <f>IF(E398="","",E398-N(F398))</f>
        <v/>
      </c>
    </row>
    <row r="399">
      <c r="A399" s="9" t="n"/>
      <c r="E399" s="11" t="n"/>
      <c r="F399" s="11" t="n"/>
      <c r="G399" s="11">
        <f>IF(E399="","",E399-N(F399))</f>
        <v/>
      </c>
    </row>
    <row r="400">
      <c r="A400" s="9" t="n"/>
      <c r="E400" s="11" t="n"/>
      <c r="F400" s="11" t="n"/>
      <c r="G400" s="11">
        <f>IF(E400="","",E400-N(F400))</f>
        <v/>
      </c>
    </row>
    <row r="401">
      <c r="A401" s="9" t="n"/>
      <c r="E401" s="11" t="n"/>
      <c r="F401" s="11" t="n"/>
      <c r="G401" s="11">
        <f>IF(E401="","",E401-N(F401))</f>
        <v/>
      </c>
    </row>
    <row r="402">
      <c r="A402" s="9" t="n"/>
      <c r="E402" s="11" t="n"/>
      <c r="F402" s="11" t="n"/>
      <c r="G402" s="11">
        <f>IF(E402="","",E402-N(F402))</f>
        <v/>
      </c>
    </row>
    <row r="403">
      <c r="A403" s="9" t="n"/>
      <c r="E403" s="11" t="n"/>
      <c r="F403" s="11" t="n"/>
      <c r="G403" s="11">
        <f>IF(E403="","",E403-N(F403))</f>
        <v/>
      </c>
    </row>
    <row r="404">
      <c r="A404" s="9" t="n"/>
      <c r="E404" s="11" t="n"/>
      <c r="F404" s="11" t="n"/>
      <c r="G404" s="11">
        <f>IF(E404="","",E404-N(F404))</f>
        <v/>
      </c>
    </row>
    <row r="405">
      <c r="A405" s="9" t="n"/>
      <c r="E405" s="11" t="n"/>
      <c r="F405" s="11" t="n"/>
      <c r="G405" s="11">
        <f>IF(E405="","",E405-N(F405))</f>
        <v/>
      </c>
    </row>
    <row r="406">
      <c r="A406" s="9" t="n"/>
      <c r="E406" s="11" t="n"/>
      <c r="F406" s="11" t="n"/>
      <c r="G406" s="11">
        <f>IF(E406="","",E406-N(F406))</f>
        <v/>
      </c>
    </row>
    <row r="407">
      <c r="A407" s="9" t="n"/>
      <c r="E407" s="11" t="n"/>
      <c r="F407" s="11" t="n"/>
      <c r="G407" s="11">
        <f>IF(E407="","",E407-N(F407))</f>
        <v/>
      </c>
    </row>
    <row r="408">
      <c r="A408" s="9" t="n"/>
      <c r="E408" s="11" t="n"/>
      <c r="F408" s="11" t="n"/>
      <c r="G408" s="11">
        <f>IF(E408="","",E408-N(F408))</f>
        <v/>
      </c>
    </row>
    <row r="409">
      <c r="A409" s="9" t="n"/>
      <c r="E409" s="11" t="n"/>
      <c r="F409" s="11" t="n"/>
      <c r="G409" s="11">
        <f>IF(E409="","",E409-N(F409))</f>
        <v/>
      </c>
    </row>
    <row r="410">
      <c r="A410" s="9" t="n"/>
      <c r="E410" s="11" t="n"/>
      <c r="F410" s="11" t="n"/>
      <c r="G410" s="11">
        <f>IF(E410="","",E410-N(F410))</f>
        <v/>
      </c>
    </row>
    <row r="411">
      <c r="A411" s="9" t="n"/>
      <c r="E411" s="11" t="n"/>
      <c r="F411" s="11" t="n"/>
      <c r="G411" s="11">
        <f>IF(E411="","",E411-N(F411))</f>
        <v/>
      </c>
    </row>
    <row r="412">
      <c r="A412" s="9" t="n"/>
      <c r="E412" s="11" t="n"/>
      <c r="F412" s="11" t="n"/>
      <c r="G412" s="11">
        <f>IF(E412="","",E412-N(F412))</f>
        <v/>
      </c>
    </row>
    <row r="413">
      <c r="A413" s="9" t="n"/>
      <c r="E413" s="11" t="n"/>
      <c r="F413" s="11" t="n"/>
      <c r="G413" s="11">
        <f>IF(E413="","",E413-N(F413))</f>
        <v/>
      </c>
    </row>
    <row r="414">
      <c r="A414" s="9" t="n"/>
      <c r="E414" s="11" t="n"/>
      <c r="F414" s="11" t="n"/>
      <c r="G414" s="11">
        <f>IF(E414="","",E414-N(F414))</f>
        <v/>
      </c>
    </row>
    <row r="415">
      <c r="A415" s="9" t="n"/>
      <c r="E415" s="11" t="n"/>
      <c r="F415" s="11" t="n"/>
      <c r="G415" s="11">
        <f>IF(E415="","",E415-N(F415))</f>
        <v/>
      </c>
    </row>
    <row r="416">
      <c r="A416" s="9" t="n"/>
      <c r="E416" s="11" t="n"/>
      <c r="F416" s="11" t="n"/>
      <c r="G416" s="11">
        <f>IF(E416="","",E416-N(F416))</f>
        <v/>
      </c>
    </row>
    <row r="417">
      <c r="A417" s="9" t="n"/>
      <c r="E417" s="11" t="n"/>
      <c r="F417" s="11" t="n"/>
      <c r="G417" s="11">
        <f>IF(E417="","",E417-N(F417))</f>
        <v/>
      </c>
    </row>
    <row r="418">
      <c r="A418" s="9" t="n"/>
      <c r="E418" s="11" t="n"/>
      <c r="F418" s="11" t="n"/>
      <c r="G418" s="11">
        <f>IF(E418="","",E418-N(F418))</f>
        <v/>
      </c>
    </row>
    <row r="419">
      <c r="A419" s="9" t="n"/>
      <c r="E419" s="11" t="n"/>
      <c r="F419" s="11" t="n"/>
      <c r="G419" s="11">
        <f>IF(E419="","",E419-N(F419))</f>
        <v/>
      </c>
    </row>
    <row r="420">
      <c r="A420" s="9" t="n"/>
      <c r="E420" s="11" t="n"/>
      <c r="F420" s="11" t="n"/>
      <c r="G420" s="11">
        <f>IF(E420="","",E420-N(F420))</f>
        <v/>
      </c>
    </row>
    <row r="421">
      <c r="A421" s="9" t="n"/>
      <c r="E421" s="11" t="n"/>
      <c r="F421" s="11" t="n"/>
      <c r="G421" s="11">
        <f>IF(E421="","",E421-N(F421))</f>
        <v/>
      </c>
    </row>
    <row r="422">
      <c r="A422" s="9" t="n"/>
      <c r="E422" s="11" t="n"/>
      <c r="F422" s="11" t="n"/>
      <c r="G422" s="11">
        <f>IF(E422="","",E422-N(F422))</f>
        <v/>
      </c>
    </row>
    <row r="423">
      <c r="A423" s="9" t="n"/>
      <c r="E423" s="11" t="n"/>
      <c r="F423" s="11" t="n"/>
      <c r="G423" s="11">
        <f>IF(E423="","",E423-N(F423))</f>
        <v/>
      </c>
    </row>
    <row r="424">
      <c r="A424" s="9" t="n"/>
      <c r="E424" s="11" t="n"/>
      <c r="F424" s="11" t="n"/>
      <c r="G424" s="11">
        <f>IF(E424="","",E424-N(F424))</f>
        <v/>
      </c>
    </row>
    <row r="425">
      <c r="A425" s="9" t="n"/>
      <c r="E425" s="11" t="n"/>
      <c r="F425" s="11" t="n"/>
      <c r="G425" s="11">
        <f>IF(E425="","",E425-N(F425))</f>
        <v/>
      </c>
    </row>
    <row r="426">
      <c r="A426" s="9" t="n"/>
      <c r="E426" s="11" t="n"/>
      <c r="F426" s="11" t="n"/>
      <c r="G426" s="11">
        <f>IF(E426="","",E426-N(F426))</f>
        <v/>
      </c>
    </row>
    <row r="427">
      <c r="A427" s="9" t="n"/>
      <c r="E427" s="11" t="n"/>
      <c r="F427" s="11" t="n"/>
      <c r="G427" s="11">
        <f>IF(E427="","",E427-N(F427))</f>
        <v/>
      </c>
    </row>
    <row r="428">
      <c r="A428" s="9" t="n"/>
      <c r="E428" s="11" t="n"/>
      <c r="F428" s="11" t="n"/>
      <c r="G428" s="11">
        <f>IF(E428="","",E428-N(F428))</f>
        <v/>
      </c>
    </row>
    <row r="429">
      <c r="A429" s="9" t="n"/>
      <c r="E429" s="11" t="n"/>
      <c r="F429" s="11" t="n"/>
      <c r="G429" s="11">
        <f>IF(E429="","",E429-N(F429))</f>
        <v/>
      </c>
    </row>
    <row r="430">
      <c r="A430" s="9" t="n"/>
      <c r="E430" s="11" t="n"/>
      <c r="F430" s="11" t="n"/>
      <c r="G430" s="11">
        <f>IF(E430="","",E430-N(F430))</f>
        <v/>
      </c>
    </row>
    <row r="431">
      <c r="A431" s="9" t="n"/>
      <c r="E431" s="11" t="n"/>
      <c r="F431" s="11" t="n"/>
      <c r="G431" s="11">
        <f>IF(E431="","",E431-N(F431))</f>
        <v/>
      </c>
    </row>
    <row r="432">
      <c r="A432" s="9" t="n"/>
      <c r="E432" s="11" t="n"/>
      <c r="F432" s="11" t="n"/>
      <c r="G432" s="11">
        <f>IF(E432="","",E432-N(F432))</f>
        <v/>
      </c>
    </row>
    <row r="433">
      <c r="A433" s="9" t="n"/>
      <c r="E433" s="11" t="n"/>
      <c r="F433" s="11" t="n"/>
      <c r="G433" s="11">
        <f>IF(E433="","",E433-N(F433))</f>
        <v/>
      </c>
    </row>
    <row r="434">
      <c r="A434" s="9" t="n"/>
      <c r="E434" s="11" t="n"/>
      <c r="F434" s="11" t="n"/>
      <c r="G434" s="11">
        <f>IF(E434="","",E434-N(F434))</f>
        <v/>
      </c>
    </row>
    <row r="435">
      <c r="A435" s="9" t="n"/>
      <c r="E435" s="11" t="n"/>
      <c r="F435" s="11" t="n"/>
      <c r="G435" s="11">
        <f>IF(E435="","",E435-N(F435))</f>
        <v/>
      </c>
    </row>
    <row r="436">
      <c r="A436" s="9" t="n"/>
      <c r="E436" s="11" t="n"/>
      <c r="F436" s="11" t="n"/>
      <c r="G436" s="11">
        <f>IF(E436="","",E436-N(F436))</f>
        <v/>
      </c>
    </row>
    <row r="437">
      <c r="A437" s="9" t="n"/>
      <c r="E437" s="11" t="n"/>
      <c r="F437" s="11" t="n"/>
      <c r="G437" s="11">
        <f>IF(E437="","",E437-N(F437))</f>
        <v/>
      </c>
    </row>
    <row r="438">
      <c r="A438" s="9" t="n"/>
      <c r="E438" s="11" t="n"/>
      <c r="F438" s="11" t="n"/>
      <c r="G438" s="11">
        <f>IF(E438="","",E438-N(F438))</f>
        <v/>
      </c>
    </row>
    <row r="439">
      <c r="A439" s="9" t="n"/>
      <c r="E439" s="11" t="n"/>
      <c r="F439" s="11" t="n"/>
      <c r="G439" s="11">
        <f>IF(E439="","",E439-N(F439))</f>
        <v/>
      </c>
    </row>
    <row r="440">
      <c r="A440" s="9" t="n"/>
      <c r="E440" s="11" t="n"/>
      <c r="F440" s="11" t="n"/>
      <c r="G440" s="11">
        <f>IF(E440="","",E440-N(F440))</f>
        <v/>
      </c>
    </row>
    <row r="441">
      <c r="A441" s="9" t="n"/>
      <c r="E441" s="11" t="n"/>
      <c r="F441" s="11" t="n"/>
      <c r="G441" s="11">
        <f>IF(E441="","",E441-N(F441))</f>
        <v/>
      </c>
    </row>
    <row r="442">
      <c r="A442" s="9" t="n"/>
      <c r="E442" s="11" t="n"/>
      <c r="F442" s="11" t="n"/>
      <c r="G442" s="11">
        <f>IF(E442="","",E442-N(F442))</f>
        <v/>
      </c>
    </row>
    <row r="443">
      <c r="A443" s="9" t="n"/>
      <c r="E443" s="11" t="n"/>
      <c r="F443" s="11" t="n"/>
      <c r="G443" s="11">
        <f>IF(E443="","",E443-N(F443))</f>
        <v/>
      </c>
    </row>
    <row r="444">
      <c r="A444" s="9" t="n"/>
      <c r="E444" s="11" t="n"/>
      <c r="F444" s="11" t="n"/>
      <c r="G444" s="11">
        <f>IF(E444="","",E444-N(F444))</f>
        <v/>
      </c>
    </row>
    <row r="445">
      <c r="A445" s="9" t="n"/>
      <c r="E445" s="11" t="n"/>
      <c r="F445" s="11" t="n"/>
      <c r="G445" s="11">
        <f>IF(E445="","",E445-N(F445))</f>
        <v/>
      </c>
    </row>
    <row r="446">
      <c r="A446" s="9" t="n"/>
      <c r="E446" s="11" t="n"/>
      <c r="F446" s="11" t="n"/>
      <c r="G446" s="11">
        <f>IF(E446="","",E446-N(F446))</f>
        <v/>
      </c>
    </row>
    <row r="447">
      <c r="A447" s="9" t="n"/>
      <c r="E447" s="11" t="n"/>
      <c r="F447" s="11" t="n"/>
      <c r="G447" s="11">
        <f>IF(E447="","",E447-N(F447))</f>
        <v/>
      </c>
    </row>
    <row r="448">
      <c r="A448" s="9" t="n"/>
      <c r="E448" s="11" t="n"/>
      <c r="F448" s="11" t="n"/>
      <c r="G448" s="11">
        <f>IF(E448="","",E448-N(F448))</f>
        <v/>
      </c>
    </row>
    <row r="449">
      <c r="A449" s="9" t="n"/>
      <c r="E449" s="11" t="n"/>
      <c r="F449" s="11" t="n"/>
      <c r="G449" s="11">
        <f>IF(E449="","",E449-N(F449))</f>
        <v/>
      </c>
    </row>
    <row r="450">
      <c r="A450" s="9" t="n"/>
      <c r="E450" s="11" t="n"/>
      <c r="F450" s="11" t="n"/>
      <c r="G450" s="11">
        <f>IF(E450="","",E450-N(F450))</f>
        <v/>
      </c>
    </row>
    <row r="451">
      <c r="A451" s="9" t="n"/>
      <c r="E451" s="11" t="n"/>
      <c r="F451" s="11" t="n"/>
      <c r="G451" s="11">
        <f>IF(E451="","",E451-N(F451))</f>
        <v/>
      </c>
    </row>
    <row r="452">
      <c r="A452" s="9" t="n"/>
      <c r="E452" s="11" t="n"/>
      <c r="F452" s="11" t="n"/>
      <c r="G452" s="11">
        <f>IF(E452="","",E452-N(F452))</f>
        <v/>
      </c>
    </row>
    <row r="453">
      <c r="A453" s="9" t="n"/>
      <c r="E453" s="11" t="n"/>
      <c r="F453" s="11" t="n"/>
      <c r="G453" s="11">
        <f>IF(E453="","",E453-N(F453))</f>
        <v/>
      </c>
    </row>
    <row r="454">
      <c r="A454" s="9" t="n"/>
      <c r="E454" s="11" t="n"/>
      <c r="F454" s="11" t="n"/>
      <c r="G454" s="11">
        <f>IF(E454="","",E454-N(F454))</f>
        <v/>
      </c>
    </row>
    <row r="455">
      <c r="A455" s="9" t="n"/>
      <c r="E455" s="11" t="n"/>
      <c r="F455" s="11" t="n"/>
      <c r="G455" s="11">
        <f>IF(E455="","",E455-N(F455))</f>
        <v/>
      </c>
    </row>
    <row r="456">
      <c r="A456" s="9" t="n"/>
      <c r="E456" s="11" t="n"/>
      <c r="F456" s="11" t="n"/>
      <c r="G456" s="11">
        <f>IF(E456="","",E456-N(F456))</f>
        <v/>
      </c>
    </row>
    <row r="457">
      <c r="A457" s="9" t="n"/>
      <c r="E457" s="11" t="n"/>
      <c r="F457" s="11" t="n"/>
      <c r="G457" s="11">
        <f>IF(E457="","",E457-N(F457))</f>
        <v/>
      </c>
    </row>
    <row r="458">
      <c r="A458" s="9" t="n"/>
      <c r="E458" s="11" t="n"/>
      <c r="F458" s="11" t="n"/>
      <c r="G458" s="11">
        <f>IF(E458="","",E458-N(F458))</f>
        <v/>
      </c>
    </row>
    <row r="459">
      <c r="A459" s="9" t="n"/>
      <c r="E459" s="11" t="n"/>
      <c r="F459" s="11" t="n"/>
      <c r="G459" s="11">
        <f>IF(E459="","",E459-N(F459))</f>
        <v/>
      </c>
    </row>
    <row r="460">
      <c r="A460" s="9" t="n"/>
      <c r="E460" s="11" t="n"/>
      <c r="F460" s="11" t="n"/>
      <c r="G460" s="11">
        <f>IF(E460="","",E460-N(F460))</f>
        <v/>
      </c>
    </row>
    <row r="461">
      <c r="A461" s="9" t="n"/>
      <c r="E461" s="11" t="n"/>
      <c r="F461" s="11" t="n"/>
      <c r="G461" s="11">
        <f>IF(E461="","",E461-N(F461))</f>
        <v/>
      </c>
    </row>
    <row r="462">
      <c r="A462" s="9" t="n"/>
      <c r="E462" s="11" t="n"/>
      <c r="F462" s="11" t="n"/>
      <c r="G462" s="11">
        <f>IF(E462="","",E462-N(F462))</f>
        <v/>
      </c>
    </row>
    <row r="463">
      <c r="A463" s="9" t="n"/>
      <c r="E463" s="11" t="n"/>
      <c r="F463" s="11" t="n"/>
      <c r="G463" s="11">
        <f>IF(E463="","",E463-N(F463))</f>
        <v/>
      </c>
    </row>
    <row r="464">
      <c r="A464" s="9" t="n"/>
      <c r="E464" s="11" t="n"/>
      <c r="F464" s="11" t="n"/>
      <c r="G464" s="11">
        <f>IF(E464="","",E464-N(F464))</f>
        <v/>
      </c>
    </row>
    <row r="465">
      <c r="A465" s="9" t="n"/>
      <c r="E465" s="11" t="n"/>
      <c r="F465" s="11" t="n"/>
      <c r="G465" s="11">
        <f>IF(E465="","",E465-N(F465))</f>
        <v/>
      </c>
    </row>
    <row r="466">
      <c r="A466" s="9" t="n"/>
      <c r="E466" s="11" t="n"/>
      <c r="F466" s="11" t="n"/>
      <c r="G466" s="11">
        <f>IF(E466="","",E466-N(F466))</f>
        <v/>
      </c>
    </row>
    <row r="467">
      <c r="A467" s="9" t="n"/>
      <c r="E467" s="11" t="n"/>
      <c r="F467" s="11" t="n"/>
      <c r="G467" s="11">
        <f>IF(E467="","",E467-N(F467))</f>
        <v/>
      </c>
    </row>
    <row r="468">
      <c r="A468" s="9" t="n"/>
      <c r="E468" s="11" t="n"/>
      <c r="F468" s="11" t="n"/>
      <c r="G468" s="11">
        <f>IF(E468="","",E468-N(F468))</f>
        <v/>
      </c>
    </row>
    <row r="469">
      <c r="A469" s="9" t="n"/>
      <c r="E469" s="11" t="n"/>
      <c r="F469" s="11" t="n"/>
      <c r="G469" s="11">
        <f>IF(E469="","",E469-N(F469))</f>
        <v/>
      </c>
    </row>
    <row r="470">
      <c r="A470" s="9" t="n"/>
      <c r="E470" s="11" t="n"/>
      <c r="F470" s="11" t="n"/>
      <c r="G470" s="11">
        <f>IF(E470="","",E470-N(F470))</f>
        <v/>
      </c>
    </row>
    <row r="471">
      <c r="A471" s="9" t="n"/>
      <c r="E471" s="11" t="n"/>
      <c r="F471" s="11" t="n"/>
      <c r="G471" s="11">
        <f>IF(E471="","",E471-N(F471))</f>
        <v/>
      </c>
    </row>
    <row r="472">
      <c r="A472" s="9" t="n"/>
      <c r="E472" s="11" t="n"/>
      <c r="F472" s="11" t="n"/>
      <c r="G472" s="11">
        <f>IF(E472="","",E472-N(F472))</f>
        <v/>
      </c>
    </row>
    <row r="473">
      <c r="A473" s="9" t="n"/>
      <c r="E473" s="11" t="n"/>
      <c r="F473" s="11" t="n"/>
      <c r="G473" s="11">
        <f>IF(E473="","",E473-N(F473))</f>
        <v/>
      </c>
    </row>
    <row r="474">
      <c r="A474" s="9" t="n"/>
      <c r="E474" s="11" t="n"/>
      <c r="F474" s="11" t="n"/>
      <c r="G474" s="11">
        <f>IF(E474="","",E474-N(F474))</f>
        <v/>
      </c>
    </row>
    <row r="475">
      <c r="A475" s="9" t="n"/>
      <c r="E475" s="11" t="n"/>
      <c r="F475" s="11" t="n"/>
      <c r="G475" s="11">
        <f>IF(E475="","",E475-N(F475))</f>
        <v/>
      </c>
    </row>
    <row r="476">
      <c r="A476" s="9" t="n"/>
      <c r="E476" s="11" t="n"/>
      <c r="F476" s="11" t="n"/>
      <c r="G476" s="11">
        <f>IF(E476="","",E476-N(F476))</f>
        <v/>
      </c>
    </row>
    <row r="477">
      <c r="A477" s="9" t="n"/>
      <c r="E477" s="11" t="n"/>
      <c r="F477" s="11" t="n"/>
      <c r="G477" s="11">
        <f>IF(E477="","",E477-N(F477))</f>
        <v/>
      </c>
    </row>
    <row r="478">
      <c r="A478" s="9" t="n"/>
      <c r="E478" s="11" t="n"/>
      <c r="F478" s="11" t="n"/>
      <c r="G478" s="11">
        <f>IF(E478="","",E478-N(F478))</f>
        <v/>
      </c>
    </row>
    <row r="479">
      <c r="A479" s="9" t="n"/>
      <c r="E479" s="11" t="n"/>
      <c r="F479" s="11" t="n"/>
      <c r="G479" s="11">
        <f>IF(E479="","",E479-N(F479))</f>
        <v/>
      </c>
    </row>
    <row r="480">
      <c r="A480" s="9" t="n"/>
      <c r="E480" s="11" t="n"/>
      <c r="F480" s="11" t="n"/>
      <c r="G480" s="11">
        <f>IF(E480="","",E480-N(F480))</f>
        <v/>
      </c>
    </row>
    <row r="481">
      <c r="A481" s="9" t="n"/>
      <c r="E481" s="11" t="n"/>
      <c r="F481" s="11" t="n"/>
      <c r="G481" s="11">
        <f>IF(E481="","",E481-N(F481))</f>
        <v/>
      </c>
    </row>
    <row r="482">
      <c r="A482" s="9" t="n"/>
      <c r="E482" s="11" t="n"/>
      <c r="F482" s="11" t="n"/>
      <c r="G482" s="11">
        <f>IF(E482="","",E482-N(F482))</f>
        <v/>
      </c>
    </row>
    <row r="483">
      <c r="A483" s="9" t="n"/>
      <c r="E483" s="11" t="n"/>
      <c r="F483" s="11" t="n"/>
      <c r="G483" s="11">
        <f>IF(E483="","",E483-N(F483))</f>
        <v/>
      </c>
    </row>
    <row r="484">
      <c r="A484" s="9" t="n"/>
      <c r="E484" s="11" t="n"/>
      <c r="F484" s="11" t="n"/>
      <c r="G484" s="11">
        <f>IF(E484="","",E484-N(F484))</f>
        <v/>
      </c>
    </row>
    <row r="485">
      <c r="A485" s="9" t="n"/>
      <c r="E485" s="11" t="n"/>
      <c r="F485" s="11" t="n"/>
      <c r="G485" s="11">
        <f>IF(E485="","",E485-N(F485))</f>
        <v/>
      </c>
    </row>
    <row r="486">
      <c r="A486" s="9" t="n"/>
      <c r="E486" s="11" t="n"/>
      <c r="F486" s="11" t="n"/>
      <c r="G486" s="11">
        <f>IF(E486="","",E486-N(F486))</f>
        <v/>
      </c>
    </row>
    <row r="487">
      <c r="A487" s="9" t="n"/>
      <c r="E487" s="11" t="n"/>
      <c r="F487" s="11" t="n"/>
      <c r="G487" s="11">
        <f>IF(E487="","",E487-N(F487))</f>
        <v/>
      </c>
    </row>
    <row r="488">
      <c r="A488" s="9" t="n"/>
      <c r="E488" s="11" t="n"/>
      <c r="F488" s="11" t="n"/>
      <c r="G488" s="11">
        <f>IF(E488="","",E488-N(F488))</f>
        <v/>
      </c>
    </row>
    <row r="489">
      <c r="A489" s="9" t="n"/>
      <c r="E489" s="11" t="n"/>
      <c r="F489" s="11" t="n"/>
      <c r="G489" s="11">
        <f>IF(E489="","",E489-N(F489))</f>
        <v/>
      </c>
    </row>
    <row r="490">
      <c r="A490" s="9" t="n"/>
      <c r="E490" s="11" t="n"/>
      <c r="F490" s="11" t="n"/>
      <c r="G490" s="11">
        <f>IF(E490="","",E490-N(F490))</f>
        <v/>
      </c>
    </row>
    <row r="491">
      <c r="A491" s="9" t="n"/>
      <c r="E491" s="11" t="n"/>
      <c r="F491" s="11" t="n"/>
      <c r="G491" s="11">
        <f>IF(E491="","",E491-N(F491))</f>
        <v/>
      </c>
    </row>
    <row r="492">
      <c r="A492" s="9" t="n"/>
      <c r="E492" s="11" t="n"/>
      <c r="F492" s="11" t="n"/>
      <c r="G492" s="11">
        <f>IF(E492="","",E492-N(F492))</f>
        <v/>
      </c>
    </row>
    <row r="493">
      <c r="A493" s="9" t="n"/>
      <c r="E493" s="11" t="n"/>
      <c r="F493" s="11" t="n"/>
      <c r="G493" s="11">
        <f>IF(E493="","",E493-N(F493))</f>
        <v/>
      </c>
    </row>
    <row r="494">
      <c r="A494" s="9" t="n"/>
      <c r="E494" s="11" t="n"/>
      <c r="F494" s="11" t="n"/>
      <c r="G494" s="11">
        <f>IF(E494="","",E494-N(F494))</f>
        <v/>
      </c>
    </row>
    <row r="495">
      <c r="A495" s="9" t="n"/>
      <c r="E495" s="11" t="n"/>
      <c r="F495" s="11" t="n"/>
      <c r="G495" s="11">
        <f>IF(E495="","",E495-N(F495))</f>
        <v/>
      </c>
    </row>
    <row r="496">
      <c r="A496" s="9" t="n"/>
      <c r="E496" s="11" t="n"/>
      <c r="F496" s="11" t="n"/>
      <c r="G496" s="11">
        <f>IF(E496="","",E496-N(F496))</f>
        <v/>
      </c>
    </row>
    <row r="497">
      <c r="A497" s="9" t="n"/>
      <c r="E497" s="11" t="n"/>
      <c r="F497" s="11" t="n"/>
      <c r="G497" s="11">
        <f>IF(E497="","",E497-N(F497))</f>
        <v/>
      </c>
    </row>
    <row r="498">
      <c r="A498" s="9" t="n"/>
      <c r="E498" s="11" t="n"/>
      <c r="F498" s="11" t="n"/>
      <c r="G498" s="11">
        <f>IF(E498="","",E498-N(F498))</f>
        <v/>
      </c>
    </row>
    <row r="499">
      <c r="A499" s="9" t="n"/>
      <c r="E499" s="11" t="n"/>
      <c r="F499" s="11" t="n"/>
      <c r="G499" s="11">
        <f>IF(E499="","",E499-N(F499))</f>
        <v/>
      </c>
    </row>
    <row r="500">
      <c r="A500" s="9" t="n"/>
      <c r="E500" s="11" t="n"/>
      <c r="F500" s="11" t="n"/>
      <c r="G500" s="11">
        <f>IF(E500="","",E500-N(F500))</f>
        <v/>
      </c>
    </row>
    <row r="501">
      <c r="A501" s="9" t="n"/>
      <c r="E501" s="11" t="n"/>
      <c r="F501" s="11" t="n"/>
      <c r="G501" s="11">
        <f>IF(E501="","",E501-N(F501))</f>
        <v/>
      </c>
    </row>
    <row r="502">
      <c r="A502" s="9" t="n"/>
      <c r="E502" s="11" t="n"/>
      <c r="F502" s="11" t="n"/>
      <c r="G502" s="11">
        <f>IF(E502="","",E502-N(F502))</f>
        <v/>
      </c>
    </row>
    <row r="503">
      <c r="A503" s="9" t="n"/>
      <c r="E503" s="11" t="n"/>
      <c r="F503" s="11" t="n"/>
      <c r="G503" s="11">
        <f>IF(E503="","",E503-N(F503))</f>
        <v/>
      </c>
    </row>
    <row r="504">
      <c r="A504" s="9" t="n"/>
      <c r="E504" s="11" t="n"/>
      <c r="F504" s="11" t="n"/>
      <c r="G504" s="11">
        <f>IF(E504="","",E504-N(F504))</f>
        <v/>
      </c>
    </row>
    <row r="505">
      <c r="A505" s="9" t="n"/>
      <c r="E505" s="11" t="n"/>
      <c r="F505" s="11" t="n"/>
      <c r="G505" s="11">
        <f>IF(E505="","",E505-N(F505))</f>
        <v/>
      </c>
    </row>
    <row r="506">
      <c r="A506" s="9" t="n"/>
      <c r="E506" s="11" t="n"/>
      <c r="F506" s="11" t="n"/>
      <c r="G506" s="11">
        <f>IF(E506="","",E506-N(F506))</f>
        <v/>
      </c>
    </row>
    <row r="507">
      <c r="A507" s="9" t="n"/>
      <c r="E507" s="11" t="n"/>
      <c r="F507" s="11" t="n"/>
      <c r="G507" s="11">
        <f>IF(E507="","",E507-N(F507))</f>
        <v/>
      </c>
    </row>
    <row r="508">
      <c r="A508" s="9" t="n"/>
      <c r="E508" s="11" t="n"/>
      <c r="F508" s="11" t="n"/>
      <c r="G508" s="11">
        <f>IF(E508="","",E508-N(F508))</f>
        <v/>
      </c>
    </row>
    <row r="509">
      <c r="A509" s="9" t="n"/>
      <c r="E509" s="11" t="n"/>
      <c r="F509" s="11" t="n"/>
      <c r="G509" s="11">
        <f>IF(E509="","",E509-N(F509))</f>
        <v/>
      </c>
    </row>
    <row r="510">
      <c r="A510" s="9" t="n"/>
      <c r="E510" s="11" t="n"/>
      <c r="F510" s="11" t="n"/>
      <c r="G510" s="11">
        <f>IF(E510="","",E510-N(F510))</f>
        <v/>
      </c>
    </row>
    <row r="511">
      <c r="A511" s="9" t="n"/>
      <c r="E511" s="11" t="n"/>
      <c r="F511" s="11" t="n"/>
      <c r="G511" s="11">
        <f>IF(E511="","",E511-N(F511))</f>
        <v/>
      </c>
    </row>
    <row r="512">
      <c r="A512" s="9" t="n"/>
      <c r="E512" s="11" t="n"/>
      <c r="F512" s="11" t="n"/>
      <c r="G512" s="11">
        <f>IF(E512="","",E512-N(F512))</f>
        <v/>
      </c>
    </row>
    <row r="513">
      <c r="A513" s="9" t="n"/>
      <c r="E513" s="11" t="n"/>
      <c r="F513" s="11" t="n"/>
      <c r="G513" s="11">
        <f>IF(E513="","",E513-N(F513))</f>
        <v/>
      </c>
    </row>
    <row r="514">
      <c r="A514" s="9" t="n"/>
      <c r="E514" s="11" t="n"/>
      <c r="F514" s="11" t="n"/>
      <c r="G514" s="11">
        <f>IF(E514="","",E514-N(F514))</f>
        <v/>
      </c>
    </row>
    <row r="515">
      <c r="A515" s="9" t="n"/>
      <c r="E515" s="11" t="n"/>
      <c r="F515" s="11" t="n"/>
      <c r="G515" s="11">
        <f>IF(E515="","",E515-N(F515))</f>
        <v/>
      </c>
    </row>
    <row r="516">
      <c r="A516" s="9" t="n"/>
      <c r="E516" s="11" t="n"/>
      <c r="F516" s="11" t="n"/>
      <c r="G516" s="11">
        <f>IF(E516="","",E516-N(F516))</f>
        <v/>
      </c>
    </row>
    <row r="517">
      <c r="A517" s="9" t="n"/>
      <c r="E517" s="11" t="n"/>
      <c r="F517" s="11" t="n"/>
      <c r="G517" s="11">
        <f>IF(E517="","",E517-N(F517))</f>
        <v/>
      </c>
    </row>
    <row r="518">
      <c r="A518" s="9" t="n"/>
      <c r="E518" s="11" t="n"/>
      <c r="F518" s="11" t="n"/>
      <c r="G518" s="11">
        <f>IF(E518="","",E518-N(F518))</f>
        <v/>
      </c>
    </row>
    <row r="519">
      <c r="A519" s="9" t="n"/>
      <c r="E519" s="11" t="n"/>
      <c r="F519" s="11" t="n"/>
      <c r="G519" s="11">
        <f>IF(E519="","",E519-N(F519))</f>
        <v/>
      </c>
    </row>
    <row r="520">
      <c r="A520" s="9" t="n"/>
      <c r="E520" s="11" t="n"/>
      <c r="F520" s="11" t="n"/>
      <c r="G520" s="11">
        <f>IF(E520="","",E520-N(F520))</f>
        <v/>
      </c>
    </row>
    <row r="521">
      <c r="A521" s="9" t="n"/>
      <c r="E521" s="11" t="n"/>
      <c r="F521" s="11" t="n"/>
      <c r="G521" s="11">
        <f>IF(E521="","",E521-N(F521))</f>
        <v/>
      </c>
    </row>
    <row r="522">
      <c r="A522" s="9" t="n"/>
      <c r="E522" s="11" t="n"/>
      <c r="F522" s="11" t="n"/>
      <c r="G522" s="11">
        <f>IF(E522="","",E522-N(F522))</f>
        <v/>
      </c>
    </row>
    <row r="523">
      <c r="A523" s="9" t="n"/>
      <c r="E523" s="11" t="n"/>
      <c r="F523" s="11" t="n"/>
      <c r="G523" s="11">
        <f>IF(E523="","",E523-N(F523))</f>
        <v/>
      </c>
    </row>
    <row r="524">
      <c r="A524" s="9" t="n"/>
      <c r="E524" s="11" t="n"/>
      <c r="F524" s="11" t="n"/>
      <c r="G524" s="11">
        <f>IF(E524="","",E524-N(F524))</f>
        <v/>
      </c>
    </row>
    <row r="525">
      <c r="A525" s="9" t="n"/>
      <c r="E525" s="11" t="n"/>
      <c r="F525" s="11" t="n"/>
      <c r="G525" s="11">
        <f>IF(E525="","",E525-N(F525))</f>
        <v/>
      </c>
    </row>
    <row r="526">
      <c r="A526" s="9" t="n"/>
      <c r="E526" s="11" t="n"/>
      <c r="F526" s="11" t="n"/>
      <c r="G526" s="11">
        <f>IF(E526="","",E526-N(F526))</f>
        <v/>
      </c>
    </row>
    <row r="527">
      <c r="A527" s="9" t="n"/>
      <c r="E527" s="11" t="n"/>
      <c r="F527" s="11" t="n"/>
      <c r="G527" s="11">
        <f>IF(E527="","",E527-N(F527))</f>
        <v/>
      </c>
    </row>
    <row r="528">
      <c r="A528" s="9" t="n"/>
      <c r="E528" s="11" t="n"/>
      <c r="F528" s="11" t="n"/>
      <c r="G528" s="11">
        <f>IF(E528="","",E528-N(F528))</f>
        <v/>
      </c>
    </row>
    <row r="529">
      <c r="A529" s="9" t="n"/>
      <c r="E529" s="11" t="n"/>
      <c r="F529" s="11" t="n"/>
      <c r="G529" s="11">
        <f>IF(E529="","",E529-N(F529))</f>
        <v/>
      </c>
    </row>
    <row r="530">
      <c r="A530" s="9" t="n"/>
      <c r="E530" s="11" t="n"/>
      <c r="F530" s="11" t="n"/>
      <c r="G530" s="11">
        <f>IF(E530="","",E530-N(F530))</f>
        <v/>
      </c>
    </row>
    <row r="531">
      <c r="A531" s="9" t="n"/>
      <c r="E531" s="11" t="n"/>
      <c r="F531" s="11" t="n"/>
      <c r="G531" s="11">
        <f>IF(E531="","",E531-N(F531))</f>
        <v/>
      </c>
    </row>
    <row r="532">
      <c r="A532" s="9" t="n"/>
      <c r="E532" s="11" t="n"/>
      <c r="F532" s="11" t="n"/>
      <c r="G532" s="11">
        <f>IF(E532="","",E532-N(F532))</f>
        <v/>
      </c>
    </row>
    <row r="533">
      <c r="A533" s="9" t="n"/>
      <c r="E533" s="11" t="n"/>
      <c r="F533" s="11" t="n"/>
      <c r="G533" s="11">
        <f>IF(E533="","",E533-N(F533))</f>
        <v/>
      </c>
    </row>
    <row r="534">
      <c r="A534" s="9" t="n"/>
      <c r="E534" s="11" t="n"/>
      <c r="F534" s="11" t="n"/>
      <c r="G534" s="11">
        <f>IF(E534="","",E534-N(F534))</f>
        <v/>
      </c>
    </row>
    <row r="535">
      <c r="A535" s="9" t="n"/>
      <c r="E535" s="11" t="n"/>
      <c r="F535" s="11" t="n"/>
      <c r="G535" s="11">
        <f>IF(E535="","",E535-N(F535))</f>
        <v/>
      </c>
    </row>
    <row r="536">
      <c r="A536" s="9" t="n"/>
      <c r="E536" s="11" t="n"/>
      <c r="F536" s="11" t="n"/>
      <c r="G536" s="11">
        <f>IF(E536="","",E536-N(F536))</f>
        <v/>
      </c>
    </row>
    <row r="537">
      <c r="A537" s="9" t="n"/>
      <c r="E537" s="11" t="n"/>
      <c r="F537" s="11" t="n"/>
      <c r="G537" s="11">
        <f>IF(E537="","",E537-N(F537))</f>
        <v/>
      </c>
    </row>
    <row r="538">
      <c r="A538" s="9" t="n"/>
      <c r="E538" s="11" t="n"/>
      <c r="F538" s="11" t="n"/>
      <c r="G538" s="11">
        <f>IF(E538="","",E538-N(F538))</f>
        <v/>
      </c>
    </row>
    <row r="539">
      <c r="A539" s="9" t="n"/>
      <c r="E539" s="11" t="n"/>
      <c r="F539" s="11" t="n"/>
      <c r="G539" s="11">
        <f>IF(E539="","",E539-N(F539))</f>
        <v/>
      </c>
    </row>
    <row r="540">
      <c r="A540" s="9" t="n"/>
      <c r="E540" s="11" t="n"/>
      <c r="F540" s="11" t="n"/>
      <c r="G540" s="11">
        <f>IF(E540="","",E540-N(F540))</f>
        <v/>
      </c>
    </row>
    <row r="541">
      <c r="A541" s="9" t="n"/>
      <c r="E541" s="11" t="n"/>
      <c r="F541" s="11" t="n"/>
      <c r="G541" s="11">
        <f>IF(E541="","",E541-N(F541))</f>
        <v/>
      </c>
    </row>
    <row r="542">
      <c r="A542" s="9" t="n"/>
      <c r="E542" s="11" t="n"/>
      <c r="F542" s="11" t="n"/>
      <c r="G542" s="11">
        <f>IF(E542="","",E542-N(F542))</f>
        <v/>
      </c>
    </row>
    <row r="543">
      <c r="A543" s="9" t="n"/>
      <c r="E543" s="11" t="n"/>
      <c r="F543" s="11" t="n"/>
      <c r="G543" s="11">
        <f>IF(E543="","",E543-N(F543))</f>
        <v/>
      </c>
    </row>
    <row r="544">
      <c r="A544" s="9" t="n"/>
      <c r="E544" s="11" t="n"/>
      <c r="F544" s="11" t="n"/>
      <c r="G544" s="11">
        <f>IF(E544="","",E544-N(F544))</f>
        <v/>
      </c>
    </row>
    <row r="545">
      <c r="A545" s="9" t="n"/>
      <c r="E545" s="11" t="n"/>
      <c r="F545" s="11" t="n"/>
      <c r="G545" s="11">
        <f>IF(E545="","",E545-N(F545))</f>
        <v/>
      </c>
    </row>
    <row r="546">
      <c r="A546" s="9" t="n"/>
      <c r="E546" s="11" t="n"/>
      <c r="F546" s="11" t="n"/>
      <c r="G546" s="11">
        <f>IF(E546="","",E546-N(F546))</f>
        <v/>
      </c>
    </row>
    <row r="547">
      <c r="A547" s="9" t="n"/>
      <c r="E547" s="11" t="n"/>
      <c r="F547" s="11" t="n"/>
      <c r="G547" s="11">
        <f>IF(E547="","",E547-N(F547))</f>
        <v/>
      </c>
    </row>
    <row r="548">
      <c r="A548" s="9" t="n"/>
      <c r="E548" s="11" t="n"/>
      <c r="F548" s="11" t="n"/>
      <c r="G548" s="11">
        <f>IF(E548="","",E548-N(F548))</f>
        <v/>
      </c>
    </row>
    <row r="549">
      <c r="A549" s="9" t="n"/>
      <c r="E549" s="11" t="n"/>
      <c r="F549" s="11" t="n"/>
      <c r="G549" s="11">
        <f>IF(E549="","",E549-N(F549))</f>
        <v/>
      </c>
    </row>
    <row r="550">
      <c r="A550" s="9" t="n"/>
      <c r="E550" s="11" t="n"/>
      <c r="F550" s="11" t="n"/>
      <c r="G550" s="11">
        <f>IF(E550="","",E550-N(F550))</f>
        <v/>
      </c>
    </row>
    <row r="551">
      <c r="A551" s="9" t="n"/>
      <c r="E551" s="11" t="n"/>
      <c r="F551" s="11" t="n"/>
      <c r="G551" s="11">
        <f>IF(E551="","",E551-N(F551))</f>
        <v/>
      </c>
    </row>
    <row r="552">
      <c r="A552" s="9" t="n"/>
      <c r="E552" s="11" t="n"/>
      <c r="F552" s="11" t="n"/>
      <c r="G552" s="11">
        <f>IF(E552="","",E552-N(F552))</f>
        <v/>
      </c>
    </row>
    <row r="553">
      <c r="A553" s="9" t="n"/>
      <c r="E553" s="11" t="n"/>
      <c r="F553" s="11" t="n"/>
      <c r="G553" s="11">
        <f>IF(E553="","",E553-N(F553))</f>
        <v/>
      </c>
    </row>
    <row r="554">
      <c r="A554" s="9" t="n"/>
      <c r="E554" s="11" t="n"/>
      <c r="F554" s="11" t="n"/>
      <c r="G554" s="11">
        <f>IF(E554="","",E554-N(F554))</f>
        <v/>
      </c>
    </row>
    <row r="555">
      <c r="A555" s="9" t="n"/>
      <c r="E555" s="11" t="n"/>
      <c r="F555" s="11" t="n"/>
      <c r="G555" s="11">
        <f>IF(E555="","",E555-N(F555))</f>
        <v/>
      </c>
    </row>
    <row r="556">
      <c r="A556" s="9" t="n"/>
      <c r="E556" s="11" t="n"/>
      <c r="F556" s="11" t="n"/>
      <c r="G556" s="11">
        <f>IF(E556="","",E556-N(F556))</f>
        <v/>
      </c>
    </row>
    <row r="557">
      <c r="A557" s="9" t="n"/>
      <c r="E557" s="11" t="n"/>
      <c r="F557" s="11" t="n"/>
      <c r="G557" s="11">
        <f>IF(E557="","",E557-N(F557))</f>
        <v/>
      </c>
    </row>
    <row r="558">
      <c r="A558" s="9" t="n"/>
      <c r="E558" s="11" t="n"/>
      <c r="F558" s="11" t="n"/>
      <c r="G558" s="11">
        <f>IF(E558="","",E558-N(F558))</f>
        <v/>
      </c>
    </row>
    <row r="559">
      <c r="A559" s="9" t="n"/>
      <c r="E559" s="11" t="n"/>
      <c r="F559" s="11" t="n"/>
      <c r="G559" s="11">
        <f>IF(E559="","",E559-N(F559))</f>
        <v/>
      </c>
    </row>
    <row r="560">
      <c r="A560" s="9" t="n"/>
      <c r="E560" s="11" t="n"/>
      <c r="F560" s="11" t="n"/>
      <c r="G560" s="11">
        <f>IF(E560="","",E560-N(F560))</f>
        <v/>
      </c>
    </row>
    <row r="561">
      <c r="A561" s="9" t="n"/>
      <c r="E561" s="11" t="n"/>
      <c r="F561" s="11" t="n"/>
      <c r="G561" s="11">
        <f>IF(E561="","",E561-N(F561))</f>
        <v/>
      </c>
    </row>
    <row r="562">
      <c r="A562" s="9" t="n"/>
      <c r="E562" s="11" t="n"/>
      <c r="F562" s="11" t="n"/>
      <c r="G562" s="11">
        <f>IF(E562="","",E562-N(F562))</f>
        <v/>
      </c>
    </row>
    <row r="563">
      <c r="A563" s="9" t="n"/>
      <c r="E563" s="11" t="n"/>
      <c r="F563" s="11" t="n"/>
      <c r="G563" s="11">
        <f>IF(E563="","",E563-N(F563))</f>
        <v/>
      </c>
    </row>
    <row r="564">
      <c r="A564" s="9" t="n"/>
      <c r="E564" s="11" t="n"/>
      <c r="F564" s="11" t="n"/>
      <c r="G564" s="11">
        <f>IF(E564="","",E564-N(F564))</f>
        <v/>
      </c>
    </row>
    <row r="565">
      <c r="A565" s="9" t="n"/>
      <c r="E565" s="11" t="n"/>
      <c r="F565" s="11" t="n"/>
      <c r="G565" s="11">
        <f>IF(E565="","",E565-N(F565))</f>
        <v/>
      </c>
    </row>
    <row r="566">
      <c r="A566" s="9" t="n"/>
      <c r="E566" s="11" t="n"/>
      <c r="F566" s="11" t="n"/>
      <c r="G566" s="11">
        <f>IF(E566="","",E566-N(F566))</f>
        <v/>
      </c>
    </row>
    <row r="567">
      <c r="A567" s="9" t="n"/>
      <c r="E567" s="11" t="n"/>
      <c r="F567" s="11" t="n"/>
      <c r="G567" s="11">
        <f>IF(E567="","",E567-N(F567))</f>
        <v/>
      </c>
    </row>
    <row r="568">
      <c r="A568" s="9" t="n"/>
      <c r="E568" s="11" t="n"/>
      <c r="F568" s="11" t="n"/>
      <c r="G568" s="11">
        <f>IF(E568="","",E568-N(F568))</f>
        <v/>
      </c>
    </row>
    <row r="569">
      <c r="A569" s="9" t="n"/>
      <c r="E569" s="11" t="n"/>
      <c r="F569" s="11" t="n"/>
      <c r="G569" s="11">
        <f>IF(E569="","",E569-N(F569))</f>
        <v/>
      </c>
    </row>
    <row r="570">
      <c r="A570" s="9" t="n"/>
      <c r="E570" s="11" t="n"/>
      <c r="F570" s="11" t="n"/>
      <c r="G570" s="11">
        <f>IF(E570="","",E570-N(F570))</f>
        <v/>
      </c>
    </row>
    <row r="571">
      <c r="A571" s="9" t="n"/>
      <c r="E571" s="11" t="n"/>
      <c r="F571" s="11" t="n"/>
      <c r="G571" s="11">
        <f>IF(E571="","",E571-N(F571))</f>
        <v/>
      </c>
    </row>
    <row r="572">
      <c r="A572" s="9" t="n"/>
      <c r="E572" s="11" t="n"/>
      <c r="F572" s="11" t="n"/>
      <c r="G572" s="11">
        <f>IF(E572="","",E572-N(F572))</f>
        <v/>
      </c>
    </row>
    <row r="573">
      <c r="A573" s="9" t="n"/>
      <c r="E573" s="11" t="n"/>
      <c r="F573" s="11" t="n"/>
      <c r="G573" s="11">
        <f>IF(E573="","",E573-N(F573))</f>
        <v/>
      </c>
    </row>
    <row r="574">
      <c r="A574" s="9" t="n"/>
      <c r="E574" s="11" t="n"/>
      <c r="F574" s="11" t="n"/>
      <c r="G574" s="11">
        <f>IF(E574="","",E574-N(F574))</f>
        <v/>
      </c>
    </row>
    <row r="575">
      <c r="A575" s="9" t="n"/>
      <c r="E575" s="11" t="n"/>
      <c r="F575" s="11" t="n"/>
      <c r="G575" s="11">
        <f>IF(E575="","",E575-N(F575))</f>
        <v/>
      </c>
    </row>
    <row r="576">
      <c r="A576" s="9" t="n"/>
      <c r="E576" s="11" t="n"/>
      <c r="F576" s="11" t="n"/>
      <c r="G576" s="11">
        <f>IF(E576="","",E576-N(F576))</f>
        <v/>
      </c>
    </row>
    <row r="577">
      <c r="A577" s="9" t="n"/>
      <c r="E577" s="11" t="n"/>
      <c r="F577" s="11" t="n"/>
      <c r="G577" s="11">
        <f>IF(E577="","",E577-N(F577))</f>
        <v/>
      </c>
    </row>
    <row r="578">
      <c r="A578" s="9" t="n"/>
      <c r="E578" s="11" t="n"/>
      <c r="F578" s="11" t="n"/>
      <c r="G578" s="11">
        <f>IF(E578="","",E578-N(F578))</f>
        <v/>
      </c>
    </row>
    <row r="579">
      <c r="A579" s="9" t="n"/>
      <c r="E579" s="11" t="n"/>
      <c r="F579" s="11" t="n"/>
      <c r="G579" s="11">
        <f>IF(E579="","",E579-N(F579))</f>
        <v/>
      </c>
    </row>
    <row r="580">
      <c r="A580" s="9" t="n"/>
      <c r="E580" s="11" t="n"/>
      <c r="F580" s="11" t="n"/>
      <c r="G580" s="11">
        <f>IF(E580="","",E580-N(F580))</f>
        <v/>
      </c>
    </row>
    <row r="581">
      <c r="A581" s="9" t="n"/>
      <c r="E581" s="11" t="n"/>
      <c r="F581" s="11" t="n"/>
      <c r="G581" s="11">
        <f>IF(E581="","",E581-N(F581))</f>
        <v/>
      </c>
    </row>
    <row r="582">
      <c r="A582" s="9" t="n"/>
      <c r="E582" s="11" t="n"/>
      <c r="F582" s="11" t="n"/>
      <c r="G582" s="11">
        <f>IF(E582="","",E582-N(F582))</f>
        <v/>
      </c>
    </row>
    <row r="583">
      <c r="A583" s="9" t="n"/>
      <c r="E583" s="11" t="n"/>
      <c r="F583" s="11" t="n"/>
      <c r="G583" s="11">
        <f>IF(E583="","",E583-N(F583))</f>
        <v/>
      </c>
    </row>
    <row r="584">
      <c r="A584" s="9" t="n"/>
      <c r="E584" s="11" t="n"/>
      <c r="F584" s="11" t="n"/>
      <c r="G584" s="11">
        <f>IF(E584="","",E584-N(F584))</f>
        <v/>
      </c>
    </row>
    <row r="585">
      <c r="A585" s="9" t="n"/>
      <c r="E585" s="11" t="n"/>
      <c r="F585" s="11" t="n"/>
      <c r="G585" s="11">
        <f>IF(E585="","",E585-N(F585))</f>
        <v/>
      </c>
    </row>
    <row r="586">
      <c r="A586" s="9" t="n"/>
      <c r="E586" s="11" t="n"/>
      <c r="F586" s="11" t="n"/>
      <c r="G586" s="11">
        <f>IF(E586="","",E586-N(F586))</f>
        <v/>
      </c>
    </row>
    <row r="587">
      <c r="A587" s="9" t="n"/>
      <c r="E587" s="11" t="n"/>
      <c r="F587" s="11" t="n"/>
      <c r="G587" s="11">
        <f>IF(E587="","",E587-N(F587))</f>
        <v/>
      </c>
    </row>
    <row r="588">
      <c r="A588" s="9" t="n"/>
      <c r="E588" s="11" t="n"/>
      <c r="F588" s="11" t="n"/>
      <c r="G588" s="11">
        <f>IF(E588="","",E588-N(F588))</f>
        <v/>
      </c>
    </row>
    <row r="589">
      <c r="A589" s="9" t="n"/>
      <c r="E589" s="11" t="n"/>
      <c r="F589" s="11" t="n"/>
      <c r="G589" s="11">
        <f>IF(E589="","",E589-N(F589))</f>
        <v/>
      </c>
    </row>
    <row r="590">
      <c r="A590" s="9" t="n"/>
      <c r="E590" s="11" t="n"/>
      <c r="F590" s="11" t="n"/>
      <c r="G590" s="11">
        <f>IF(E590="","",E590-N(F590))</f>
        <v/>
      </c>
    </row>
    <row r="591">
      <c r="A591" s="9" t="n"/>
      <c r="E591" s="11" t="n"/>
      <c r="F591" s="11" t="n"/>
      <c r="G591" s="11">
        <f>IF(E591="","",E591-N(F591))</f>
        <v/>
      </c>
    </row>
    <row r="592">
      <c r="A592" s="9" t="n"/>
      <c r="E592" s="11" t="n"/>
      <c r="F592" s="11" t="n"/>
      <c r="G592" s="11">
        <f>IF(E592="","",E592-N(F592))</f>
        <v/>
      </c>
    </row>
    <row r="593">
      <c r="A593" s="9" t="n"/>
      <c r="E593" s="11" t="n"/>
      <c r="F593" s="11" t="n"/>
      <c r="G593" s="11">
        <f>IF(E593="","",E593-N(F593))</f>
        <v/>
      </c>
    </row>
    <row r="594">
      <c r="A594" s="9" t="n"/>
      <c r="E594" s="11" t="n"/>
      <c r="F594" s="11" t="n"/>
      <c r="G594" s="11">
        <f>IF(E594="","",E594-N(F594))</f>
        <v/>
      </c>
    </row>
    <row r="595">
      <c r="A595" s="9" t="n"/>
      <c r="E595" s="11" t="n"/>
      <c r="F595" s="11" t="n"/>
      <c r="G595" s="11">
        <f>IF(E595="","",E595-N(F595))</f>
        <v/>
      </c>
    </row>
    <row r="596">
      <c r="A596" s="9" t="n"/>
      <c r="E596" s="11" t="n"/>
      <c r="F596" s="11" t="n"/>
      <c r="G596" s="11">
        <f>IF(E596="","",E596-N(F596))</f>
        <v/>
      </c>
    </row>
    <row r="597">
      <c r="A597" s="9" t="n"/>
      <c r="E597" s="11" t="n"/>
      <c r="F597" s="11" t="n"/>
      <c r="G597" s="11">
        <f>IF(E597="","",E597-N(F597))</f>
        <v/>
      </c>
    </row>
    <row r="598">
      <c r="A598" s="9" t="n"/>
      <c r="E598" s="11" t="n"/>
      <c r="F598" s="11" t="n"/>
      <c r="G598" s="11">
        <f>IF(E598="","",E598-N(F598))</f>
        <v/>
      </c>
    </row>
    <row r="599">
      <c r="A599" s="9" t="n"/>
      <c r="E599" s="11" t="n"/>
      <c r="F599" s="11" t="n"/>
      <c r="G599" s="11">
        <f>IF(E599="","",E599-N(F599))</f>
        <v/>
      </c>
    </row>
    <row r="600">
      <c r="A600" s="9" t="n"/>
      <c r="E600" s="11" t="n"/>
      <c r="F600" s="11" t="n"/>
      <c r="G600" s="11">
        <f>IF(E600="","",E600-N(F600))</f>
        <v/>
      </c>
    </row>
    <row r="601">
      <c r="A601" s="9" t="n"/>
      <c r="E601" s="11" t="n"/>
      <c r="F601" s="11" t="n"/>
      <c r="G601" s="11">
        <f>IF(E601="","",E601-N(F601))</f>
        <v/>
      </c>
    </row>
    <row r="602">
      <c r="A602" s="9" t="n"/>
      <c r="E602" s="11" t="n"/>
      <c r="F602" s="11" t="n"/>
      <c r="G602" s="11">
        <f>IF(E602="","",E602-N(F602))</f>
        <v/>
      </c>
    </row>
    <row r="603">
      <c r="A603" s="9" t="n"/>
      <c r="E603" s="11" t="n"/>
      <c r="F603" s="11" t="n"/>
      <c r="G603" s="11">
        <f>IF(E603="","",E603-N(F603))</f>
        <v/>
      </c>
    </row>
    <row r="604">
      <c r="A604" s="9" t="n"/>
      <c r="E604" s="11" t="n"/>
      <c r="F604" s="11" t="n"/>
      <c r="G604" s="11">
        <f>IF(E604="","",E604-N(F604))</f>
        <v/>
      </c>
    </row>
    <row r="605">
      <c r="A605" s="9" t="n"/>
      <c r="E605" s="11" t="n"/>
      <c r="F605" s="11" t="n"/>
      <c r="G605" s="11">
        <f>IF(E605="","",E605-N(F605))</f>
        <v/>
      </c>
    </row>
    <row r="606">
      <c r="A606" s="9" t="n"/>
      <c r="E606" s="11" t="n"/>
      <c r="F606" s="11" t="n"/>
      <c r="G606" s="11">
        <f>IF(E606="","",E606-N(F606))</f>
        <v/>
      </c>
    </row>
    <row r="607">
      <c r="A607" s="9" t="n"/>
      <c r="E607" s="11" t="n"/>
      <c r="F607" s="11" t="n"/>
      <c r="G607" s="11">
        <f>IF(E607="","",E607-N(F607))</f>
        <v/>
      </c>
    </row>
    <row r="608">
      <c r="A608" s="9" t="n"/>
      <c r="E608" s="11" t="n"/>
      <c r="F608" s="11" t="n"/>
      <c r="G608" s="11">
        <f>IF(E608="","",E608-N(F608))</f>
        <v/>
      </c>
    </row>
    <row r="609">
      <c r="A609" s="9" t="n"/>
      <c r="E609" s="11" t="n"/>
      <c r="F609" s="11" t="n"/>
      <c r="G609" s="11">
        <f>IF(E609="","",E609-N(F609))</f>
        <v/>
      </c>
    </row>
    <row r="610">
      <c r="A610" s="9" t="n"/>
      <c r="E610" s="11" t="n"/>
      <c r="F610" s="11" t="n"/>
      <c r="G610" s="11">
        <f>IF(E610="","",E610-N(F610))</f>
        <v/>
      </c>
    </row>
    <row r="611">
      <c r="A611" s="9" t="n"/>
      <c r="E611" s="11" t="n"/>
      <c r="F611" s="11" t="n"/>
      <c r="G611" s="11">
        <f>IF(E611="","",E611-N(F611))</f>
        <v/>
      </c>
    </row>
    <row r="612">
      <c r="A612" s="9" t="n"/>
      <c r="E612" s="11" t="n"/>
      <c r="F612" s="11" t="n"/>
      <c r="G612" s="11">
        <f>IF(E612="","",E612-N(F612))</f>
        <v/>
      </c>
    </row>
    <row r="613">
      <c r="A613" s="9" t="n"/>
      <c r="E613" s="11" t="n"/>
      <c r="F613" s="11" t="n"/>
      <c r="G613" s="11">
        <f>IF(E613="","",E613-N(F613))</f>
        <v/>
      </c>
    </row>
    <row r="614">
      <c r="A614" s="9" t="n"/>
      <c r="E614" s="11" t="n"/>
      <c r="F614" s="11" t="n"/>
      <c r="G614" s="11">
        <f>IF(E614="","",E614-N(F614))</f>
        <v/>
      </c>
    </row>
    <row r="615">
      <c r="A615" s="9" t="n"/>
      <c r="E615" s="11" t="n"/>
      <c r="F615" s="11" t="n"/>
      <c r="G615" s="11">
        <f>IF(E615="","",E615-N(F615))</f>
        <v/>
      </c>
    </row>
    <row r="616">
      <c r="A616" s="9" t="n"/>
      <c r="E616" s="11" t="n"/>
      <c r="F616" s="11" t="n"/>
      <c r="G616" s="11">
        <f>IF(E616="","",E616-N(F616))</f>
        <v/>
      </c>
    </row>
    <row r="617">
      <c r="A617" s="9" t="n"/>
      <c r="E617" s="11" t="n"/>
      <c r="F617" s="11" t="n"/>
      <c r="G617" s="11">
        <f>IF(E617="","",E617-N(F617))</f>
        <v/>
      </c>
    </row>
    <row r="618">
      <c r="A618" s="9" t="n"/>
      <c r="E618" s="11" t="n"/>
      <c r="F618" s="11" t="n"/>
      <c r="G618" s="11">
        <f>IF(E618="","",E618-N(F618))</f>
        <v/>
      </c>
    </row>
    <row r="619">
      <c r="A619" s="9" t="n"/>
      <c r="E619" s="11" t="n"/>
      <c r="F619" s="11" t="n"/>
      <c r="G619" s="11">
        <f>IF(E619="","",E619-N(F619))</f>
        <v/>
      </c>
    </row>
    <row r="620">
      <c r="A620" s="9" t="n"/>
      <c r="E620" s="11" t="n"/>
      <c r="F620" s="11" t="n"/>
      <c r="G620" s="11">
        <f>IF(E620="","",E620-N(F620))</f>
        <v/>
      </c>
    </row>
    <row r="621">
      <c r="A621" s="9" t="n"/>
      <c r="E621" s="11" t="n"/>
      <c r="F621" s="11" t="n"/>
      <c r="G621" s="11">
        <f>IF(E621="","",E621-N(F621))</f>
        <v/>
      </c>
    </row>
    <row r="622">
      <c r="A622" s="9" t="n"/>
      <c r="E622" s="11" t="n"/>
      <c r="F622" s="11" t="n"/>
      <c r="G622" s="11">
        <f>IF(E622="","",E622-N(F622))</f>
        <v/>
      </c>
    </row>
    <row r="623">
      <c r="A623" s="9" t="n"/>
      <c r="E623" s="11" t="n"/>
      <c r="F623" s="11" t="n"/>
      <c r="G623" s="11">
        <f>IF(E623="","",E623-N(F623))</f>
        <v/>
      </c>
    </row>
    <row r="624">
      <c r="A624" s="9" t="n"/>
      <c r="E624" s="11" t="n"/>
      <c r="F624" s="11" t="n"/>
      <c r="G624" s="11">
        <f>IF(E624="","",E624-N(F624))</f>
        <v/>
      </c>
    </row>
    <row r="625">
      <c r="A625" s="9" t="n"/>
      <c r="E625" s="11" t="n"/>
      <c r="F625" s="11" t="n"/>
      <c r="G625" s="11">
        <f>IF(E625="","",E625-N(F625))</f>
        <v/>
      </c>
    </row>
    <row r="626">
      <c r="A626" s="9" t="n"/>
      <c r="E626" s="11" t="n"/>
      <c r="F626" s="11" t="n"/>
      <c r="G626" s="11">
        <f>IF(E626="","",E626-N(F626))</f>
        <v/>
      </c>
    </row>
    <row r="627">
      <c r="A627" s="9" t="n"/>
      <c r="E627" s="11" t="n"/>
      <c r="F627" s="11" t="n"/>
      <c r="G627" s="11">
        <f>IF(E627="","",E627-N(F627))</f>
        <v/>
      </c>
    </row>
    <row r="628">
      <c r="A628" s="9" t="n"/>
      <c r="E628" s="11" t="n"/>
      <c r="F628" s="11" t="n"/>
      <c r="G628" s="11">
        <f>IF(E628="","",E628-N(F628))</f>
        <v/>
      </c>
    </row>
    <row r="629">
      <c r="A629" s="9" t="n"/>
      <c r="E629" s="11" t="n"/>
      <c r="F629" s="11" t="n"/>
      <c r="G629" s="11">
        <f>IF(E629="","",E629-N(F629))</f>
        <v/>
      </c>
    </row>
    <row r="630">
      <c r="A630" s="9" t="n"/>
      <c r="E630" s="11" t="n"/>
      <c r="F630" s="11" t="n"/>
      <c r="G630" s="11">
        <f>IF(E630="","",E630-N(F630))</f>
        <v/>
      </c>
    </row>
    <row r="631">
      <c r="A631" s="9" t="n"/>
      <c r="E631" s="11" t="n"/>
      <c r="F631" s="11" t="n"/>
      <c r="G631" s="11">
        <f>IF(E631="","",E631-N(F631))</f>
        <v/>
      </c>
    </row>
    <row r="632">
      <c r="A632" s="9" t="n"/>
      <c r="E632" s="11" t="n"/>
      <c r="F632" s="11" t="n"/>
      <c r="G632" s="11">
        <f>IF(E632="","",E632-N(F632))</f>
        <v/>
      </c>
    </row>
    <row r="633">
      <c r="A633" s="9" t="n"/>
      <c r="E633" s="11" t="n"/>
      <c r="F633" s="11" t="n"/>
      <c r="G633" s="11">
        <f>IF(E633="","",E633-N(F633))</f>
        <v/>
      </c>
    </row>
    <row r="634">
      <c r="A634" s="9" t="n"/>
      <c r="E634" s="11" t="n"/>
      <c r="F634" s="11" t="n"/>
      <c r="G634" s="11">
        <f>IF(E634="","",E634-N(F634))</f>
        <v/>
      </c>
    </row>
    <row r="635">
      <c r="A635" s="9" t="n"/>
      <c r="E635" s="11" t="n"/>
      <c r="F635" s="11" t="n"/>
      <c r="G635" s="11">
        <f>IF(E635="","",E635-N(F635))</f>
        <v/>
      </c>
    </row>
    <row r="636">
      <c r="A636" s="9" t="n"/>
      <c r="E636" s="11" t="n"/>
      <c r="F636" s="11" t="n"/>
      <c r="G636" s="11">
        <f>IF(E636="","",E636-N(F636))</f>
        <v/>
      </c>
    </row>
    <row r="637">
      <c r="A637" s="9" t="n"/>
      <c r="E637" s="11" t="n"/>
      <c r="F637" s="11" t="n"/>
      <c r="G637" s="11">
        <f>IF(E637="","",E637-N(F637))</f>
        <v/>
      </c>
    </row>
    <row r="638">
      <c r="A638" s="9" t="n"/>
      <c r="E638" s="11" t="n"/>
      <c r="F638" s="11" t="n"/>
      <c r="G638" s="11">
        <f>IF(E638="","",E638-N(F638))</f>
        <v/>
      </c>
    </row>
    <row r="639">
      <c r="A639" s="9" t="n"/>
      <c r="E639" s="11" t="n"/>
      <c r="F639" s="11" t="n"/>
      <c r="G639" s="11">
        <f>IF(E639="","",E639-N(F639))</f>
        <v/>
      </c>
    </row>
    <row r="640">
      <c r="A640" s="9" t="n"/>
      <c r="E640" s="11" t="n"/>
      <c r="F640" s="11" t="n"/>
      <c r="G640" s="11">
        <f>IF(E640="","",E640-N(F640))</f>
        <v/>
      </c>
    </row>
    <row r="641">
      <c r="A641" s="9" t="n"/>
      <c r="E641" s="11" t="n"/>
      <c r="F641" s="11" t="n"/>
      <c r="G641" s="11">
        <f>IF(E641="","",E641-N(F641))</f>
        <v/>
      </c>
    </row>
    <row r="642">
      <c r="A642" s="9" t="n"/>
      <c r="E642" s="11" t="n"/>
      <c r="F642" s="11" t="n"/>
      <c r="G642" s="11">
        <f>IF(E642="","",E642-N(F642))</f>
        <v/>
      </c>
    </row>
    <row r="643">
      <c r="A643" s="9" t="n"/>
      <c r="E643" s="11" t="n"/>
      <c r="F643" s="11" t="n"/>
      <c r="G643" s="11">
        <f>IF(E643="","",E643-N(F643))</f>
        <v/>
      </c>
    </row>
    <row r="644">
      <c r="A644" s="9" t="n"/>
      <c r="E644" s="11" t="n"/>
      <c r="F644" s="11" t="n"/>
      <c r="G644" s="11">
        <f>IF(E644="","",E644-N(F644))</f>
        <v/>
      </c>
    </row>
    <row r="645">
      <c r="A645" s="9" t="n"/>
      <c r="E645" s="11" t="n"/>
      <c r="F645" s="11" t="n"/>
      <c r="G645" s="11">
        <f>IF(E645="","",E645-N(F645))</f>
        <v/>
      </c>
    </row>
    <row r="646">
      <c r="A646" s="9" t="n"/>
      <c r="E646" s="11" t="n"/>
      <c r="F646" s="11" t="n"/>
      <c r="G646" s="11">
        <f>IF(E646="","",E646-N(F646))</f>
        <v/>
      </c>
    </row>
    <row r="647">
      <c r="A647" s="9" t="n"/>
      <c r="E647" s="11" t="n"/>
      <c r="F647" s="11" t="n"/>
      <c r="G647" s="11">
        <f>IF(E647="","",E647-N(F647))</f>
        <v/>
      </c>
    </row>
    <row r="648">
      <c r="A648" s="9" t="n"/>
      <c r="E648" s="11" t="n"/>
      <c r="F648" s="11" t="n"/>
      <c r="G648" s="11">
        <f>IF(E648="","",E648-N(F648))</f>
        <v/>
      </c>
    </row>
    <row r="649">
      <c r="A649" s="9" t="n"/>
      <c r="E649" s="11" t="n"/>
      <c r="F649" s="11" t="n"/>
      <c r="G649" s="11">
        <f>IF(E649="","",E649-N(F649))</f>
        <v/>
      </c>
    </row>
    <row r="650">
      <c r="A650" s="9" t="n"/>
      <c r="E650" s="11" t="n"/>
      <c r="F650" s="11" t="n"/>
      <c r="G650" s="11">
        <f>IF(E650="","",E650-N(F650))</f>
        <v/>
      </c>
    </row>
    <row r="651">
      <c r="A651" s="9" t="n"/>
      <c r="E651" s="11" t="n"/>
      <c r="F651" s="11" t="n"/>
      <c r="G651" s="11">
        <f>IF(E651="","",E651-N(F651))</f>
        <v/>
      </c>
    </row>
    <row r="652">
      <c r="A652" s="9" t="n"/>
      <c r="E652" s="11" t="n"/>
      <c r="F652" s="11" t="n"/>
      <c r="G652" s="11">
        <f>IF(E652="","",E652-N(F652))</f>
        <v/>
      </c>
    </row>
    <row r="653">
      <c r="A653" s="9" t="n"/>
      <c r="E653" s="11" t="n"/>
      <c r="F653" s="11" t="n"/>
      <c r="G653" s="11">
        <f>IF(E653="","",E653-N(F653))</f>
        <v/>
      </c>
    </row>
    <row r="654">
      <c r="A654" s="9" t="n"/>
      <c r="E654" s="11" t="n"/>
      <c r="F654" s="11" t="n"/>
      <c r="G654" s="11">
        <f>IF(E654="","",E654-N(F654))</f>
        <v/>
      </c>
    </row>
    <row r="655">
      <c r="A655" s="9" t="n"/>
      <c r="E655" s="11" t="n"/>
      <c r="F655" s="11" t="n"/>
      <c r="G655" s="11">
        <f>IF(E655="","",E655-N(F655))</f>
        <v/>
      </c>
    </row>
    <row r="656">
      <c r="A656" s="9" t="n"/>
      <c r="E656" s="11" t="n"/>
      <c r="F656" s="11" t="n"/>
      <c r="G656" s="11">
        <f>IF(E656="","",E656-N(F656))</f>
        <v/>
      </c>
    </row>
    <row r="657">
      <c r="A657" s="9" t="n"/>
      <c r="E657" s="11" t="n"/>
      <c r="F657" s="11" t="n"/>
      <c r="G657" s="11">
        <f>IF(E657="","",E657-N(F657))</f>
        <v/>
      </c>
    </row>
    <row r="658">
      <c r="A658" s="9" t="n"/>
      <c r="E658" s="11" t="n"/>
      <c r="F658" s="11" t="n"/>
      <c r="G658" s="11">
        <f>IF(E658="","",E658-N(F658))</f>
        <v/>
      </c>
    </row>
    <row r="659">
      <c r="A659" s="9" t="n"/>
      <c r="E659" s="11" t="n"/>
      <c r="F659" s="11" t="n"/>
      <c r="G659" s="11">
        <f>IF(E659="","",E659-N(F659))</f>
        <v/>
      </c>
    </row>
    <row r="660">
      <c r="A660" s="9" t="n"/>
      <c r="E660" s="11" t="n"/>
      <c r="F660" s="11" t="n"/>
      <c r="G660" s="11">
        <f>IF(E660="","",E660-N(F660))</f>
        <v/>
      </c>
    </row>
    <row r="661">
      <c r="A661" s="9" t="n"/>
      <c r="E661" s="11" t="n"/>
      <c r="F661" s="11" t="n"/>
      <c r="G661" s="11">
        <f>IF(E661="","",E661-N(F661))</f>
        <v/>
      </c>
    </row>
    <row r="662">
      <c r="A662" s="9" t="n"/>
      <c r="E662" s="11" t="n"/>
      <c r="F662" s="11" t="n"/>
      <c r="G662" s="11">
        <f>IF(E662="","",E662-N(F662))</f>
        <v/>
      </c>
    </row>
    <row r="663">
      <c r="A663" s="9" t="n"/>
      <c r="E663" s="11" t="n"/>
      <c r="F663" s="11" t="n"/>
      <c r="G663" s="11">
        <f>IF(E663="","",E663-N(F663))</f>
        <v/>
      </c>
    </row>
    <row r="664">
      <c r="A664" s="9" t="n"/>
      <c r="E664" s="11" t="n"/>
      <c r="F664" s="11" t="n"/>
      <c r="G664" s="11">
        <f>IF(E664="","",E664-N(F664))</f>
        <v/>
      </c>
    </row>
    <row r="665">
      <c r="A665" s="9" t="n"/>
      <c r="E665" s="11" t="n"/>
      <c r="F665" s="11" t="n"/>
      <c r="G665" s="11">
        <f>IF(E665="","",E665-N(F665))</f>
        <v/>
      </c>
    </row>
    <row r="666">
      <c r="A666" s="9" t="n"/>
      <c r="E666" s="11" t="n"/>
      <c r="F666" s="11" t="n"/>
      <c r="G666" s="11">
        <f>IF(E666="","",E666-N(F666))</f>
        <v/>
      </c>
    </row>
    <row r="667">
      <c r="A667" s="9" t="n"/>
      <c r="E667" s="11" t="n"/>
      <c r="F667" s="11" t="n"/>
      <c r="G667" s="11">
        <f>IF(E667="","",E667-N(F667))</f>
        <v/>
      </c>
    </row>
    <row r="668">
      <c r="A668" s="9" t="n"/>
      <c r="E668" s="11" t="n"/>
      <c r="F668" s="11" t="n"/>
      <c r="G668" s="11">
        <f>IF(E668="","",E668-N(F668))</f>
        <v/>
      </c>
    </row>
    <row r="669">
      <c r="A669" s="9" t="n"/>
      <c r="E669" s="11" t="n"/>
      <c r="F669" s="11" t="n"/>
      <c r="G669" s="11">
        <f>IF(E669="","",E669-N(F669))</f>
        <v/>
      </c>
    </row>
    <row r="670">
      <c r="A670" s="9" t="n"/>
      <c r="E670" s="11" t="n"/>
      <c r="F670" s="11" t="n"/>
      <c r="G670" s="11">
        <f>IF(E670="","",E670-N(F670))</f>
        <v/>
      </c>
    </row>
    <row r="671">
      <c r="A671" s="9" t="n"/>
      <c r="E671" s="11" t="n"/>
      <c r="F671" s="11" t="n"/>
      <c r="G671" s="11">
        <f>IF(E671="","",E671-N(F671))</f>
        <v/>
      </c>
    </row>
    <row r="672">
      <c r="A672" s="9" t="n"/>
      <c r="E672" s="11" t="n"/>
      <c r="F672" s="11" t="n"/>
      <c r="G672" s="11">
        <f>IF(E672="","",E672-N(F672))</f>
        <v/>
      </c>
    </row>
    <row r="673">
      <c r="A673" s="9" t="n"/>
      <c r="E673" s="11" t="n"/>
      <c r="F673" s="11" t="n"/>
      <c r="G673" s="11">
        <f>IF(E673="","",E673-N(F673))</f>
        <v/>
      </c>
    </row>
    <row r="674">
      <c r="A674" s="9" t="n"/>
      <c r="E674" s="11" t="n"/>
      <c r="F674" s="11" t="n"/>
      <c r="G674" s="11">
        <f>IF(E674="","",E674-N(F674))</f>
        <v/>
      </c>
    </row>
    <row r="675">
      <c r="A675" s="9" t="n"/>
      <c r="E675" s="11" t="n"/>
      <c r="F675" s="11" t="n"/>
      <c r="G675" s="11">
        <f>IF(E675="","",E675-N(F675))</f>
        <v/>
      </c>
    </row>
    <row r="676">
      <c r="A676" s="9" t="n"/>
      <c r="E676" s="11" t="n"/>
      <c r="F676" s="11" t="n"/>
      <c r="G676" s="11">
        <f>IF(E676="","",E676-N(F676))</f>
        <v/>
      </c>
    </row>
    <row r="677">
      <c r="A677" s="9" t="n"/>
      <c r="E677" s="11" t="n"/>
      <c r="F677" s="11" t="n"/>
      <c r="G677" s="11">
        <f>IF(E677="","",E677-N(F677))</f>
        <v/>
      </c>
    </row>
    <row r="678">
      <c r="A678" s="9" t="n"/>
      <c r="E678" s="11" t="n"/>
      <c r="F678" s="11" t="n"/>
      <c r="G678" s="11">
        <f>IF(E678="","",E678-N(F678))</f>
        <v/>
      </c>
    </row>
    <row r="679">
      <c r="A679" s="9" t="n"/>
      <c r="E679" s="11" t="n"/>
      <c r="F679" s="11" t="n"/>
      <c r="G679" s="11">
        <f>IF(E679="","",E679-N(F679))</f>
        <v/>
      </c>
    </row>
    <row r="680">
      <c r="A680" s="9" t="n"/>
      <c r="E680" s="11" t="n"/>
      <c r="F680" s="11" t="n"/>
      <c r="G680" s="11">
        <f>IF(E680="","",E680-N(F680))</f>
        <v/>
      </c>
    </row>
    <row r="681">
      <c r="A681" s="9" t="n"/>
      <c r="E681" s="11" t="n"/>
      <c r="F681" s="11" t="n"/>
      <c r="G681" s="11">
        <f>IF(E681="","",E681-N(F681))</f>
        <v/>
      </c>
    </row>
    <row r="682">
      <c r="A682" s="9" t="n"/>
      <c r="E682" s="11" t="n"/>
      <c r="F682" s="11" t="n"/>
      <c r="G682" s="11">
        <f>IF(E682="","",E682-N(F682))</f>
        <v/>
      </c>
    </row>
    <row r="683">
      <c r="A683" s="9" t="n"/>
      <c r="E683" s="11" t="n"/>
      <c r="F683" s="11" t="n"/>
      <c r="G683" s="11">
        <f>IF(E683="","",E683-N(F683))</f>
        <v/>
      </c>
    </row>
    <row r="684">
      <c r="A684" s="9" t="n"/>
      <c r="E684" s="11" t="n"/>
      <c r="F684" s="11" t="n"/>
      <c r="G684" s="11">
        <f>IF(E684="","",E684-N(F684))</f>
        <v/>
      </c>
    </row>
    <row r="685">
      <c r="A685" s="9" t="n"/>
      <c r="E685" s="11" t="n"/>
      <c r="F685" s="11" t="n"/>
      <c r="G685" s="11">
        <f>IF(E685="","",E685-N(F685))</f>
        <v/>
      </c>
    </row>
    <row r="686">
      <c r="A686" s="9" t="n"/>
      <c r="E686" s="11" t="n"/>
      <c r="F686" s="11" t="n"/>
      <c r="G686" s="11">
        <f>IF(E686="","",E686-N(F686))</f>
        <v/>
      </c>
    </row>
    <row r="687">
      <c r="A687" s="9" t="n"/>
      <c r="E687" s="11" t="n"/>
      <c r="F687" s="11" t="n"/>
      <c r="G687" s="11">
        <f>IF(E687="","",E687-N(F687))</f>
        <v/>
      </c>
    </row>
    <row r="688">
      <c r="A688" s="9" t="n"/>
      <c r="E688" s="11" t="n"/>
      <c r="F688" s="11" t="n"/>
      <c r="G688" s="11">
        <f>IF(E688="","",E688-N(F688))</f>
        <v/>
      </c>
    </row>
    <row r="689">
      <c r="A689" s="9" t="n"/>
      <c r="E689" s="11" t="n"/>
      <c r="F689" s="11" t="n"/>
      <c r="G689" s="11">
        <f>IF(E689="","",E689-N(F689))</f>
        <v/>
      </c>
    </row>
    <row r="690">
      <c r="A690" s="9" t="n"/>
      <c r="E690" s="11" t="n"/>
      <c r="F690" s="11" t="n"/>
      <c r="G690" s="11">
        <f>IF(E690="","",E690-N(F690))</f>
        <v/>
      </c>
    </row>
    <row r="691">
      <c r="A691" s="9" t="n"/>
      <c r="E691" s="11" t="n"/>
      <c r="F691" s="11" t="n"/>
      <c r="G691" s="11">
        <f>IF(E691="","",E691-N(F691))</f>
        <v/>
      </c>
    </row>
    <row r="692">
      <c r="A692" s="9" t="n"/>
      <c r="E692" s="11" t="n"/>
      <c r="F692" s="11" t="n"/>
      <c r="G692" s="11">
        <f>IF(E692="","",E692-N(F692))</f>
        <v/>
      </c>
    </row>
    <row r="693">
      <c r="A693" s="9" t="n"/>
      <c r="E693" s="11" t="n"/>
      <c r="F693" s="11" t="n"/>
      <c r="G693" s="11">
        <f>IF(E693="","",E693-N(F693))</f>
        <v/>
      </c>
    </row>
    <row r="694">
      <c r="A694" s="9" t="n"/>
      <c r="E694" s="11" t="n"/>
      <c r="F694" s="11" t="n"/>
      <c r="G694" s="11">
        <f>IF(E694="","",E694-N(F694))</f>
        <v/>
      </c>
    </row>
    <row r="695">
      <c r="A695" s="9" t="n"/>
      <c r="E695" s="11" t="n"/>
      <c r="F695" s="11" t="n"/>
      <c r="G695" s="11">
        <f>IF(E695="","",E695-N(F695))</f>
        <v/>
      </c>
    </row>
    <row r="696">
      <c r="A696" s="9" t="n"/>
      <c r="E696" s="11" t="n"/>
      <c r="F696" s="11" t="n"/>
      <c r="G696" s="11">
        <f>IF(E696="","",E696-N(F696))</f>
        <v/>
      </c>
    </row>
    <row r="697">
      <c r="A697" s="9" t="n"/>
      <c r="E697" s="11" t="n"/>
      <c r="F697" s="11" t="n"/>
      <c r="G697" s="11">
        <f>IF(E697="","",E697-N(F697))</f>
        <v/>
      </c>
    </row>
    <row r="698">
      <c r="A698" s="9" t="n"/>
      <c r="E698" s="11" t="n"/>
      <c r="F698" s="11" t="n"/>
      <c r="G698" s="11">
        <f>IF(E698="","",E698-N(F698))</f>
        <v/>
      </c>
    </row>
    <row r="699">
      <c r="A699" s="9" t="n"/>
      <c r="E699" s="11" t="n"/>
      <c r="F699" s="11" t="n"/>
      <c r="G699" s="11">
        <f>IF(E699="","",E699-N(F699))</f>
        <v/>
      </c>
    </row>
    <row r="700">
      <c r="A700" s="9" t="n"/>
      <c r="E700" s="11" t="n"/>
      <c r="F700" s="11" t="n"/>
      <c r="G700" s="11">
        <f>IF(E700="","",E700-N(F700))</f>
        <v/>
      </c>
    </row>
    <row r="701">
      <c r="A701" s="9" t="n"/>
      <c r="E701" s="11" t="n"/>
      <c r="F701" s="11" t="n"/>
      <c r="G701" s="11">
        <f>IF(E701="","",E701-N(F701))</f>
        <v/>
      </c>
    </row>
    <row r="702">
      <c r="A702" s="9" t="n"/>
      <c r="E702" s="11" t="n"/>
      <c r="F702" s="11" t="n"/>
      <c r="G702" s="11">
        <f>IF(E702="","",E702-N(F702))</f>
        <v/>
      </c>
    </row>
    <row r="703">
      <c r="A703" s="9" t="n"/>
      <c r="E703" s="11" t="n"/>
      <c r="F703" s="11" t="n"/>
      <c r="G703" s="11">
        <f>IF(E703="","",E703-N(F703))</f>
        <v/>
      </c>
    </row>
    <row r="704">
      <c r="A704" s="9" t="n"/>
      <c r="E704" s="11" t="n"/>
      <c r="F704" s="11" t="n"/>
      <c r="G704" s="11">
        <f>IF(E704="","",E704-N(F704))</f>
        <v/>
      </c>
    </row>
    <row r="705">
      <c r="A705" s="9" t="n"/>
      <c r="E705" s="11" t="n"/>
      <c r="F705" s="11" t="n"/>
      <c r="G705" s="11">
        <f>IF(E705="","",E705-N(F705))</f>
        <v/>
      </c>
    </row>
    <row r="706">
      <c r="A706" s="9" t="n"/>
      <c r="E706" s="11" t="n"/>
      <c r="F706" s="11" t="n"/>
      <c r="G706" s="11">
        <f>IF(E706="","",E706-N(F706))</f>
        <v/>
      </c>
    </row>
    <row r="707">
      <c r="A707" s="9" t="n"/>
      <c r="E707" s="11" t="n"/>
      <c r="F707" s="11" t="n"/>
      <c r="G707" s="11">
        <f>IF(E707="","",E707-N(F707))</f>
        <v/>
      </c>
    </row>
    <row r="708">
      <c r="A708" s="9" t="n"/>
      <c r="E708" s="11" t="n"/>
      <c r="F708" s="11" t="n"/>
      <c r="G708" s="11">
        <f>IF(E708="","",E708-N(F708))</f>
        <v/>
      </c>
    </row>
    <row r="709">
      <c r="A709" s="9" t="n"/>
      <c r="E709" s="11" t="n"/>
      <c r="F709" s="11" t="n"/>
      <c r="G709" s="11">
        <f>IF(E709="","",E709-N(F709))</f>
        <v/>
      </c>
    </row>
    <row r="710">
      <c r="A710" s="9" t="n"/>
      <c r="E710" s="11" t="n"/>
      <c r="F710" s="11" t="n"/>
      <c r="G710" s="11">
        <f>IF(E710="","",E710-N(F710))</f>
        <v/>
      </c>
    </row>
    <row r="711">
      <c r="A711" s="9" t="n"/>
      <c r="E711" s="11" t="n"/>
      <c r="F711" s="11" t="n"/>
      <c r="G711" s="11">
        <f>IF(E711="","",E711-N(F711))</f>
        <v/>
      </c>
    </row>
    <row r="712">
      <c r="A712" s="9" t="n"/>
      <c r="E712" s="11" t="n"/>
      <c r="F712" s="11" t="n"/>
      <c r="G712" s="11">
        <f>IF(E712="","",E712-N(F712))</f>
        <v/>
      </c>
    </row>
    <row r="713">
      <c r="A713" s="9" t="n"/>
      <c r="E713" s="11" t="n"/>
      <c r="F713" s="11" t="n"/>
      <c r="G713" s="11">
        <f>IF(E713="","",E713-N(F713))</f>
        <v/>
      </c>
    </row>
    <row r="714">
      <c r="A714" s="9" t="n"/>
      <c r="E714" s="11" t="n"/>
      <c r="F714" s="11" t="n"/>
      <c r="G714" s="11">
        <f>IF(E714="","",E714-N(F714))</f>
        <v/>
      </c>
    </row>
    <row r="715">
      <c r="A715" s="9" t="n"/>
      <c r="E715" s="11" t="n"/>
      <c r="F715" s="11" t="n"/>
      <c r="G715" s="11">
        <f>IF(E715="","",E715-N(F715))</f>
        <v/>
      </c>
    </row>
    <row r="716">
      <c r="A716" s="9" t="n"/>
      <c r="E716" s="11" t="n"/>
      <c r="F716" s="11" t="n"/>
      <c r="G716" s="11">
        <f>IF(E716="","",E716-N(F716))</f>
        <v/>
      </c>
    </row>
    <row r="717">
      <c r="A717" s="9" t="n"/>
      <c r="E717" s="11" t="n"/>
      <c r="F717" s="11" t="n"/>
      <c r="G717" s="11">
        <f>IF(E717="","",E717-N(F717))</f>
        <v/>
      </c>
    </row>
    <row r="718">
      <c r="A718" s="9" t="n"/>
      <c r="E718" s="11" t="n"/>
      <c r="F718" s="11" t="n"/>
      <c r="G718" s="11">
        <f>IF(E718="","",E718-N(F718))</f>
        <v/>
      </c>
    </row>
    <row r="719">
      <c r="A719" s="9" t="n"/>
      <c r="E719" s="11" t="n"/>
      <c r="F719" s="11" t="n"/>
      <c r="G719" s="11">
        <f>IF(E719="","",E719-N(F719))</f>
        <v/>
      </c>
    </row>
    <row r="720">
      <c r="A720" s="9" t="n"/>
      <c r="E720" s="11" t="n"/>
      <c r="F720" s="11" t="n"/>
      <c r="G720" s="11">
        <f>IF(E720="","",E720-N(F720))</f>
        <v/>
      </c>
    </row>
    <row r="721">
      <c r="A721" s="9" t="n"/>
      <c r="E721" s="11" t="n"/>
      <c r="F721" s="11" t="n"/>
      <c r="G721" s="11">
        <f>IF(E721="","",E721-N(F721))</f>
        <v/>
      </c>
    </row>
    <row r="722">
      <c r="A722" s="9" t="n"/>
      <c r="E722" s="11" t="n"/>
      <c r="F722" s="11" t="n"/>
      <c r="G722" s="11">
        <f>IF(E722="","",E722-N(F722))</f>
        <v/>
      </c>
    </row>
    <row r="723">
      <c r="A723" s="9" t="n"/>
      <c r="E723" s="11" t="n"/>
      <c r="F723" s="11" t="n"/>
      <c r="G723" s="11">
        <f>IF(E723="","",E723-N(F723))</f>
        <v/>
      </c>
    </row>
    <row r="724">
      <c r="A724" s="9" t="n"/>
      <c r="E724" s="11" t="n"/>
      <c r="F724" s="11" t="n"/>
      <c r="G724" s="11">
        <f>IF(E724="","",E724-N(F724))</f>
        <v/>
      </c>
    </row>
    <row r="725">
      <c r="A725" s="9" t="n"/>
      <c r="E725" s="11" t="n"/>
      <c r="F725" s="11" t="n"/>
      <c r="G725" s="11">
        <f>IF(E725="","",E725-N(F725))</f>
        <v/>
      </c>
    </row>
    <row r="726">
      <c r="A726" s="9" t="n"/>
      <c r="E726" s="11" t="n"/>
      <c r="F726" s="11" t="n"/>
      <c r="G726" s="11">
        <f>IF(E726="","",E726-N(F726))</f>
        <v/>
      </c>
    </row>
    <row r="727">
      <c r="A727" s="9" t="n"/>
      <c r="E727" s="11" t="n"/>
      <c r="F727" s="11" t="n"/>
      <c r="G727" s="11">
        <f>IF(E727="","",E727-N(F727))</f>
        <v/>
      </c>
    </row>
    <row r="728">
      <c r="A728" s="9" t="n"/>
      <c r="E728" s="11" t="n"/>
      <c r="F728" s="11" t="n"/>
      <c r="G728" s="11">
        <f>IF(E728="","",E728-N(F728))</f>
        <v/>
      </c>
    </row>
    <row r="729">
      <c r="A729" s="9" t="n"/>
      <c r="E729" s="11" t="n"/>
      <c r="F729" s="11" t="n"/>
      <c r="G729" s="11">
        <f>IF(E729="","",E729-N(F729))</f>
        <v/>
      </c>
    </row>
    <row r="730">
      <c r="A730" s="9" t="n"/>
      <c r="E730" s="11" t="n"/>
      <c r="F730" s="11" t="n"/>
      <c r="G730" s="11">
        <f>IF(E730="","",E730-N(F730))</f>
        <v/>
      </c>
    </row>
    <row r="731">
      <c r="A731" s="9" t="n"/>
      <c r="E731" s="11" t="n"/>
      <c r="F731" s="11" t="n"/>
      <c r="G731" s="11">
        <f>IF(E731="","",E731-N(F731))</f>
        <v/>
      </c>
    </row>
    <row r="732">
      <c r="A732" s="9" t="n"/>
      <c r="E732" s="11" t="n"/>
      <c r="F732" s="11" t="n"/>
      <c r="G732" s="11">
        <f>IF(E732="","",E732-N(F732))</f>
        <v/>
      </c>
    </row>
    <row r="733">
      <c r="A733" s="9" t="n"/>
      <c r="E733" s="11" t="n"/>
      <c r="F733" s="11" t="n"/>
      <c r="G733" s="11">
        <f>IF(E733="","",E733-N(F733))</f>
        <v/>
      </c>
    </row>
    <row r="734">
      <c r="A734" s="9" t="n"/>
      <c r="E734" s="11" t="n"/>
      <c r="F734" s="11" t="n"/>
      <c r="G734" s="11">
        <f>IF(E734="","",E734-N(F734))</f>
        <v/>
      </c>
    </row>
    <row r="735">
      <c r="A735" s="9" t="n"/>
      <c r="E735" s="11" t="n"/>
      <c r="F735" s="11" t="n"/>
      <c r="G735" s="11">
        <f>IF(E735="","",E735-N(F735))</f>
        <v/>
      </c>
    </row>
    <row r="736">
      <c r="A736" s="9" t="n"/>
      <c r="E736" s="11" t="n"/>
      <c r="F736" s="11" t="n"/>
      <c r="G736" s="11">
        <f>IF(E736="","",E736-N(F736))</f>
        <v/>
      </c>
    </row>
    <row r="737">
      <c r="A737" s="9" t="n"/>
      <c r="E737" s="11" t="n"/>
      <c r="F737" s="11" t="n"/>
      <c r="G737" s="11">
        <f>IF(E737="","",E737-N(F737))</f>
        <v/>
      </c>
    </row>
    <row r="738">
      <c r="A738" s="9" t="n"/>
      <c r="E738" s="11" t="n"/>
      <c r="F738" s="11" t="n"/>
      <c r="G738" s="11">
        <f>IF(E738="","",E738-N(F738))</f>
        <v/>
      </c>
    </row>
    <row r="739">
      <c r="A739" s="9" t="n"/>
      <c r="E739" s="11" t="n"/>
      <c r="F739" s="11" t="n"/>
      <c r="G739" s="11">
        <f>IF(E739="","",E739-N(F739))</f>
        <v/>
      </c>
    </row>
    <row r="740">
      <c r="A740" s="9" t="n"/>
      <c r="E740" s="11" t="n"/>
      <c r="F740" s="11" t="n"/>
      <c r="G740" s="11">
        <f>IF(E740="","",E740-N(F740))</f>
        <v/>
      </c>
    </row>
    <row r="741">
      <c r="A741" s="9" t="n"/>
      <c r="E741" s="11" t="n"/>
      <c r="F741" s="11" t="n"/>
      <c r="G741" s="11">
        <f>IF(E741="","",E741-N(F741))</f>
        <v/>
      </c>
    </row>
    <row r="742">
      <c r="A742" s="9" t="n"/>
      <c r="E742" s="11" t="n"/>
      <c r="F742" s="11" t="n"/>
      <c r="G742" s="11">
        <f>IF(E742="","",E742-N(F742))</f>
        <v/>
      </c>
    </row>
    <row r="743">
      <c r="A743" s="9" t="n"/>
      <c r="E743" s="11" t="n"/>
      <c r="F743" s="11" t="n"/>
      <c r="G743" s="11">
        <f>IF(E743="","",E743-N(F743))</f>
        <v/>
      </c>
    </row>
    <row r="744">
      <c r="A744" s="9" t="n"/>
      <c r="E744" s="11" t="n"/>
      <c r="F744" s="11" t="n"/>
      <c r="G744" s="11">
        <f>IF(E744="","",E744-N(F744))</f>
        <v/>
      </c>
    </row>
    <row r="745">
      <c r="A745" s="9" t="n"/>
      <c r="E745" s="11" t="n"/>
      <c r="F745" s="11" t="n"/>
      <c r="G745" s="11">
        <f>IF(E745="","",E745-N(F745))</f>
        <v/>
      </c>
    </row>
    <row r="746">
      <c r="A746" s="9" t="n"/>
      <c r="E746" s="11" t="n"/>
      <c r="F746" s="11" t="n"/>
      <c r="G746" s="11">
        <f>IF(E746="","",E746-N(F746))</f>
        <v/>
      </c>
    </row>
    <row r="747">
      <c r="A747" s="9" t="n"/>
      <c r="E747" s="11" t="n"/>
      <c r="F747" s="11" t="n"/>
      <c r="G747" s="11">
        <f>IF(E747="","",E747-N(F747))</f>
        <v/>
      </c>
    </row>
    <row r="748">
      <c r="A748" s="9" t="n"/>
      <c r="E748" s="11" t="n"/>
      <c r="F748" s="11" t="n"/>
      <c r="G748" s="11">
        <f>IF(E748="","",E748-N(F748))</f>
        <v/>
      </c>
    </row>
    <row r="749">
      <c r="A749" s="9" t="n"/>
      <c r="E749" s="11" t="n"/>
      <c r="F749" s="11" t="n"/>
      <c r="G749" s="11">
        <f>IF(E749="","",E749-N(F749))</f>
        <v/>
      </c>
    </row>
    <row r="750">
      <c r="A750" s="9" t="n"/>
      <c r="E750" s="11" t="n"/>
      <c r="F750" s="11" t="n"/>
      <c r="G750" s="11">
        <f>IF(E750="","",E750-N(F750))</f>
        <v/>
      </c>
    </row>
    <row r="751">
      <c r="A751" s="9" t="n"/>
      <c r="E751" s="11" t="n"/>
      <c r="F751" s="11" t="n"/>
      <c r="G751" s="11">
        <f>IF(E751="","",E751-N(F751))</f>
        <v/>
      </c>
    </row>
    <row r="752">
      <c r="A752" s="9" t="n"/>
      <c r="E752" s="11" t="n"/>
      <c r="F752" s="11" t="n"/>
      <c r="G752" s="11">
        <f>IF(E752="","",E752-N(F752))</f>
        <v/>
      </c>
    </row>
    <row r="753">
      <c r="A753" s="9" t="n"/>
      <c r="E753" s="11" t="n"/>
      <c r="F753" s="11" t="n"/>
      <c r="G753" s="11">
        <f>IF(E753="","",E753-N(F753))</f>
        <v/>
      </c>
    </row>
    <row r="754">
      <c r="A754" s="9" t="n"/>
      <c r="E754" s="11" t="n"/>
      <c r="F754" s="11" t="n"/>
      <c r="G754" s="11">
        <f>IF(E754="","",E754-N(F754))</f>
        <v/>
      </c>
    </row>
    <row r="755">
      <c r="A755" s="9" t="n"/>
      <c r="E755" s="11" t="n"/>
      <c r="F755" s="11" t="n"/>
      <c r="G755" s="11">
        <f>IF(E755="","",E755-N(F755))</f>
        <v/>
      </c>
    </row>
    <row r="756">
      <c r="A756" s="9" t="n"/>
      <c r="E756" s="11" t="n"/>
      <c r="F756" s="11" t="n"/>
      <c r="G756" s="11">
        <f>IF(E756="","",E756-N(F756))</f>
        <v/>
      </c>
    </row>
    <row r="757">
      <c r="A757" s="9" t="n"/>
      <c r="E757" s="11" t="n"/>
      <c r="F757" s="11" t="n"/>
      <c r="G757" s="11">
        <f>IF(E757="","",E757-N(F757))</f>
        <v/>
      </c>
    </row>
    <row r="758">
      <c r="A758" s="9" t="n"/>
      <c r="E758" s="11" t="n"/>
      <c r="F758" s="11" t="n"/>
      <c r="G758" s="11">
        <f>IF(E758="","",E758-N(F758))</f>
        <v/>
      </c>
    </row>
    <row r="759">
      <c r="A759" s="9" t="n"/>
      <c r="E759" s="11" t="n"/>
      <c r="F759" s="11" t="n"/>
      <c r="G759" s="11">
        <f>IF(E759="","",E759-N(F759))</f>
        <v/>
      </c>
    </row>
    <row r="760">
      <c r="A760" s="9" t="n"/>
      <c r="E760" s="11" t="n"/>
      <c r="F760" s="11" t="n"/>
      <c r="G760" s="11">
        <f>IF(E760="","",E760-N(F760))</f>
        <v/>
      </c>
    </row>
    <row r="761">
      <c r="A761" s="9" t="n"/>
      <c r="E761" s="11" t="n"/>
      <c r="F761" s="11" t="n"/>
      <c r="G761" s="11">
        <f>IF(E761="","",E761-N(F761))</f>
        <v/>
      </c>
    </row>
    <row r="762">
      <c r="A762" s="9" t="n"/>
      <c r="E762" s="11" t="n"/>
      <c r="F762" s="11" t="n"/>
      <c r="G762" s="11">
        <f>IF(E762="","",E762-N(F762))</f>
        <v/>
      </c>
    </row>
    <row r="763">
      <c r="A763" s="9" t="n"/>
      <c r="E763" s="11" t="n"/>
      <c r="F763" s="11" t="n"/>
      <c r="G763" s="11">
        <f>IF(E763="","",E763-N(F763))</f>
        <v/>
      </c>
    </row>
    <row r="764">
      <c r="A764" s="9" t="n"/>
      <c r="E764" s="11" t="n"/>
      <c r="F764" s="11" t="n"/>
      <c r="G764" s="11">
        <f>IF(E764="","",E764-N(F764))</f>
        <v/>
      </c>
    </row>
    <row r="765">
      <c r="A765" s="9" t="n"/>
      <c r="E765" s="11" t="n"/>
      <c r="F765" s="11" t="n"/>
      <c r="G765" s="11">
        <f>IF(E765="","",E765-N(F765))</f>
        <v/>
      </c>
    </row>
    <row r="766">
      <c r="A766" s="9" t="n"/>
      <c r="E766" s="11" t="n"/>
      <c r="F766" s="11" t="n"/>
      <c r="G766" s="11">
        <f>IF(E766="","",E766-N(F766))</f>
        <v/>
      </c>
    </row>
    <row r="767">
      <c r="A767" s="9" t="n"/>
      <c r="E767" s="11" t="n"/>
      <c r="F767" s="11" t="n"/>
      <c r="G767" s="11">
        <f>IF(E767="","",E767-N(F767))</f>
        <v/>
      </c>
    </row>
    <row r="768">
      <c r="A768" s="9" t="n"/>
      <c r="E768" s="11" t="n"/>
      <c r="F768" s="11" t="n"/>
      <c r="G768" s="11">
        <f>IF(E768="","",E768-N(F768))</f>
        <v/>
      </c>
    </row>
    <row r="769">
      <c r="A769" s="9" t="n"/>
      <c r="E769" s="11" t="n"/>
      <c r="F769" s="11" t="n"/>
      <c r="G769" s="11">
        <f>IF(E769="","",E769-N(F769))</f>
        <v/>
      </c>
    </row>
    <row r="770">
      <c r="A770" s="9" t="n"/>
      <c r="E770" s="11" t="n"/>
      <c r="F770" s="11" t="n"/>
      <c r="G770" s="11">
        <f>IF(E770="","",E770-N(F770))</f>
        <v/>
      </c>
    </row>
    <row r="771">
      <c r="A771" s="9" t="n"/>
      <c r="E771" s="11" t="n"/>
      <c r="F771" s="11" t="n"/>
      <c r="G771" s="11">
        <f>IF(E771="","",E771-N(F771))</f>
        <v/>
      </c>
    </row>
    <row r="772">
      <c r="A772" s="9" t="n"/>
      <c r="E772" s="11" t="n"/>
      <c r="F772" s="11" t="n"/>
      <c r="G772" s="11">
        <f>IF(E772="","",E772-N(F772))</f>
        <v/>
      </c>
    </row>
    <row r="773">
      <c r="A773" s="9" t="n"/>
      <c r="E773" s="11" t="n"/>
      <c r="F773" s="11" t="n"/>
      <c r="G773" s="11">
        <f>IF(E773="","",E773-N(F773))</f>
        <v/>
      </c>
    </row>
    <row r="774">
      <c r="A774" s="9" t="n"/>
      <c r="E774" s="11" t="n"/>
      <c r="F774" s="11" t="n"/>
      <c r="G774" s="11">
        <f>IF(E774="","",E774-N(F774))</f>
        <v/>
      </c>
    </row>
    <row r="775">
      <c r="A775" s="9" t="n"/>
      <c r="E775" s="11" t="n"/>
      <c r="F775" s="11" t="n"/>
      <c r="G775" s="11">
        <f>IF(E775="","",E775-N(F775))</f>
        <v/>
      </c>
    </row>
    <row r="776">
      <c r="A776" s="9" t="n"/>
      <c r="E776" s="11" t="n"/>
      <c r="F776" s="11" t="n"/>
      <c r="G776" s="11">
        <f>IF(E776="","",E776-N(F776))</f>
        <v/>
      </c>
    </row>
    <row r="777">
      <c r="A777" s="9" t="n"/>
      <c r="E777" s="11" t="n"/>
      <c r="F777" s="11" t="n"/>
      <c r="G777" s="11">
        <f>IF(E777="","",E777-N(F777))</f>
        <v/>
      </c>
    </row>
    <row r="778">
      <c r="A778" s="9" t="n"/>
      <c r="E778" s="11" t="n"/>
      <c r="F778" s="11" t="n"/>
      <c r="G778" s="11">
        <f>IF(E778="","",E778-N(F778))</f>
        <v/>
      </c>
    </row>
    <row r="779">
      <c r="A779" s="9" t="n"/>
      <c r="E779" s="11" t="n"/>
      <c r="F779" s="11" t="n"/>
      <c r="G779" s="11">
        <f>IF(E779="","",E779-N(F779))</f>
        <v/>
      </c>
    </row>
    <row r="780">
      <c r="A780" s="9" t="n"/>
      <c r="E780" s="11" t="n"/>
      <c r="F780" s="11" t="n"/>
      <c r="G780" s="11">
        <f>IF(E780="","",E780-N(F780))</f>
        <v/>
      </c>
    </row>
    <row r="781">
      <c r="A781" s="9" t="n"/>
      <c r="E781" s="11" t="n"/>
      <c r="F781" s="11" t="n"/>
      <c r="G781" s="11">
        <f>IF(E781="","",E781-N(F781))</f>
        <v/>
      </c>
    </row>
    <row r="782">
      <c r="A782" s="9" t="n"/>
      <c r="E782" s="11" t="n"/>
      <c r="F782" s="11" t="n"/>
      <c r="G782" s="11">
        <f>IF(E782="","",E782-N(F782))</f>
        <v/>
      </c>
    </row>
    <row r="783">
      <c r="A783" s="9" t="n"/>
      <c r="E783" s="11" t="n"/>
      <c r="F783" s="11" t="n"/>
      <c r="G783" s="11">
        <f>IF(E783="","",E783-N(F783))</f>
        <v/>
      </c>
    </row>
    <row r="784">
      <c r="A784" s="9" t="n"/>
      <c r="E784" s="11" t="n"/>
      <c r="F784" s="11" t="n"/>
      <c r="G784" s="11">
        <f>IF(E784="","",E784-N(F784))</f>
        <v/>
      </c>
    </row>
    <row r="785">
      <c r="A785" s="9" t="n"/>
      <c r="E785" s="11" t="n"/>
      <c r="F785" s="11" t="n"/>
      <c r="G785" s="11">
        <f>IF(E785="","",E785-N(F785))</f>
        <v/>
      </c>
    </row>
    <row r="786">
      <c r="A786" s="9" t="n"/>
      <c r="E786" s="11" t="n"/>
      <c r="F786" s="11" t="n"/>
      <c r="G786" s="11">
        <f>IF(E786="","",E786-N(F786))</f>
        <v/>
      </c>
    </row>
    <row r="787">
      <c r="A787" s="9" t="n"/>
      <c r="E787" s="11" t="n"/>
      <c r="F787" s="11" t="n"/>
      <c r="G787" s="11">
        <f>IF(E787="","",E787-N(F787))</f>
        <v/>
      </c>
    </row>
    <row r="788">
      <c r="A788" s="9" t="n"/>
      <c r="E788" s="11" t="n"/>
      <c r="F788" s="11" t="n"/>
      <c r="G788" s="11">
        <f>IF(E788="","",E788-N(F788))</f>
        <v/>
      </c>
    </row>
    <row r="789">
      <c r="A789" s="9" t="n"/>
      <c r="E789" s="11" t="n"/>
      <c r="F789" s="11" t="n"/>
      <c r="G789" s="11">
        <f>IF(E789="","",E789-N(F789))</f>
        <v/>
      </c>
    </row>
    <row r="790">
      <c r="A790" s="9" t="n"/>
      <c r="E790" s="11" t="n"/>
      <c r="F790" s="11" t="n"/>
      <c r="G790" s="11">
        <f>IF(E790="","",E790-N(F790))</f>
        <v/>
      </c>
    </row>
    <row r="791">
      <c r="A791" s="9" t="n"/>
      <c r="E791" s="11" t="n"/>
      <c r="F791" s="11" t="n"/>
      <c r="G791" s="11">
        <f>IF(E791="","",E791-N(F791))</f>
        <v/>
      </c>
    </row>
    <row r="792">
      <c r="A792" s="9" t="n"/>
      <c r="E792" s="11" t="n"/>
      <c r="F792" s="11" t="n"/>
      <c r="G792" s="11">
        <f>IF(E792="","",E792-N(F792))</f>
        <v/>
      </c>
    </row>
    <row r="793">
      <c r="A793" s="9" t="n"/>
      <c r="E793" s="11" t="n"/>
      <c r="F793" s="11" t="n"/>
      <c r="G793" s="11">
        <f>IF(E793="","",E793-N(F793))</f>
        <v/>
      </c>
    </row>
    <row r="794">
      <c r="A794" s="9" t="n"/>
      <c r="E794" s="11" t="n"/>
      <c r="F794" s="11" t="n"/>
      <c r="G794" s="11">
        <f>IF(E794="","",E794-N(F794))</f>
        <v/>
      </c>
    </row>
    <row r="795">
      <c r="A795" s="9" t="n"/>
      <c r="E795" s="11" t="n"/>
      <c r="F795" s="11" t="n"/>
      <c r="G795" s="11">
        <f>IF(E795="","",E795-N(F795))</f>
        <v/>
      </c>
    </row>
    <row r="796">
      <c r="A796" s="9" t="n"/>
      <c r="E796" s="11" t="n"/>
      <c r="F796" s="11" t="n"/>
      <c r="G796" s="11">
        <f>IF(E796="","",E796-N(F796))</f>
        <v/>
      </c>
    </row>
    <row r="797">
      <c r="A797" s="9" t="n"/>
      <c r="E797" s="11" t="n"/>
      <c r="F797" s="11" t="n"/>
      <c r="G797" s="11">
        <f>IF(E797="","",E797-N(F797))</f>
        <v/>
      </c>
    </row>
    <row r="798">
      <c r="A798" s="9" t="n"/>
      <c r="E798" s="11" t="n"/>
      <c r="F798" s="11" t="n"/>
      <c r="G798" s="11">
        <f>IF(E798="","",E798-N(F798))</f>
        <v/>
      </c>
    </row>
    <row r="799">
      <c r="A799" s="9" t="n"/>
      <c r="E799" s="11" t="n"/>
      <c r="F799" s="11" t="n"/>
      <c r="G799" s="11">
        <f>IF(E799="","",E799-N(F799))</f>
        <v/>
      </c>
    </row>
    <row r="800">
      <c r="A800" s="9" t="n"/>
      <c r="E800" s="11" t="n"/>
      <c r="F800" s="11" t="n"/>
      <c r="G800" s="11">
        <f>IF(E800="","",E800-N(F800))</f>
        <v/>
      </c>
    </row>
    <row r="801">
      <c r="A801" s="9" t="n"/>
      <c r="E801" s="11" t="n"/>
      <c r="F801" s="11" t="n"/>
      <c r="G801" s="11">
        <f>IF(E801="","",E801-N(F801))</f>
        <v/>
      </c>
    </row>
    <row r="802">
      <c r="A802" s="9" t="n"/>
      <c r="E802" s="11" t="n"/>
      <c r="F802" s="11" t="n"/>
      <c r="G802" s="11">
        <f>IF(E802="","",E802-N(F802))</f>
        <v/>
      </c>
    </row>
    <row r="803">
      <c r="A803" s="9" t="n"/>
      <c r="E803" s="11" t="n"/>
      <c r="F803" s="11" t="n"/>
      <c r="G803" s="11">
        <f>IF(E803="","",E803-N(F803))</f>
        <v/>
      </c>
    </row>
    <row r="804">
      <c r="A804" s="9" t="n"/>
      <c r="E804" s="11" t="n"/>
      <c r="F804" s="11" t="n"/>
      <c r="G804" s="11">
        <f>IF(E804="","",E804-N(F804))</f>
        <v/>
      </c>
    </row>
    <row r="805">
      <c r="A805" s="9" t="n"/>
      <c r="E805" s="11" t="n"/>
      <c r="F805" s="11" t="n"/>
      <c r="G805" s="11">
        <f>IF(E805="","",E805-N(F805))</f>
        <v/>
      </c>
    </row>
    <row r="806">
      <c r="A806" s="9" t="n"/>
      <c r="E806" s="11" t="n"/>
      <c r="F806" s="11" t="n"/>
      <c r="G806" s="11">
        <f>IF(E806="","",E806-N(F806))</f>
        <v/>
      </c>
    </row>
    <row r="807">
      <c r="A807" s="9" t="n"/>
      <c r="E807" s="11" t="n"/>
      <c r="F807" s="11" t="n"/>
      <c r="G807" s="11">
        <f>IF(E807="","",E807-N(F807))</f>
        <v/>
      </c>
    </row>
    <row r="808">
      <c r="A808" s="9" t="n"/>
      <c r="E808" s="11" t="n"/>
      <c r="F808" s="11" t="n"/>
      <c r="G808" s="11">
        <f>IF(E808="","",E808-N(F808))</f>
        <v/>
      </c>
    </row>
    <row r="809">
      <c r="A809" s="9" t="n"/>
      <c r="E809" s="11" t="n"/>
      <c r="F809" s="11" t="n"/>
      <c r="G809" s="11">
        <f>IF(E809="","",E809-N(F809))</f>
        <v/>
      </c>
    </row>
    <row r="810">
      <c r="A810" s="9" t="n"/>
      <c r="E810" s="11" t="n"/>
      <c r="F810" s="11" t="n"/>
      <c r="G810" s="11">
        <f>IF(E810="","",E810-N(F810))</f>
        <v/>
      </c>
    </row>
    <row r="811">
      <c r="A811" s="9" t="n"/>
      <c r="E811" s="11" t="n"/>
      <c r="F811" s="11" t="n"/>
      <c r="G811" s="11">
        <f>IF(E811="","",E811-N(F811))</f>
        <v/>
      </c>
    </row>
    <row r="812">
      <c r="A812" s="9" t="n"/>
      <c r="E812" s="11" t="n"/>
      <c r="F812" s="11" t="n"/>
      <c r="G812" s="11">
        <f>IF(E812="","",E812-N(F812))</f>
        <v/>
      </c>
    </row>
    <row r="813">
      <c r="A813" s="9" t="n"/>
      <c r="E813" s="11" t="n"/>
      <c r="F813" s="11" t="n"/>
      <c r="G813" s="11">
        <f>IF(E813="","",E813-N(F813))</f>
        <v/>
      </c>
    </row>
    <row r="814">
      <c r="A814" s="9" t="n"/>
      <c r="E814" s="11" t="n"/>
      <c r="F814" s="11" t="n"/>
      <c r="G814" s="11">
        <f>IF(E814="","",E814-N(F814))</f>
        <v/>
      </c>
    </row>
    <row r="815">
      <c r="A815" s="9" t="n"/>
      <c r="E815" s="11" t="n"/>
      <c r="F815" s="11" t="n"/>
      <c r="G815" s="11">
        <f>IF(E815="","",E815-N(F815))</f>
        <v/>
      </c>
    </row>
    <row r="816">
      <c r="A816" s="9" t="n"/>
      <c r="E816" s="11" t="n"/>
      <c r="F816" s="11" t="n"/>
      <c r="G816" s="11">
        <f>IF(E816="","",E816-N(F816))</f>
        <v/>
      </c>
    </row>
    <row r="817">
      <c r="A817" s="9" t="n"/>
      <c r="E817" s="11" t="n"/>
      <c r="F817" s="11" t="n"/>
      <c r="G817" s="11">
        <f>IF(E817="","",E817-N(F817))</f>
        <v/>
      </c>
    </row>
    <row r="818">
      <c r="A818" s="9" t="n"/>
      <c r="E818" s="11" t="n"/>
      <c r="F818" s="11" t="n"/>
      <c r="G818" s="11">
        <f>IF(E818="","",E818-N(F818))</f>
        <v/>
      </c>
    </row>
    <row r="819">
      <c r="A819" s="9" t="n"/>
      <c r="E819" s="11" t="n"/>
      <c r="F819" s="11" t="n"/>
      <c r="G819" s="11">
        <f>IF(E819="","",E819-N(F819))</f>
        <v/>
      </c>
    </row>
    <row r="820">
      <c r="A820" s="9" t="n"/>
      <c r="E820" s="11" t="n"/>
      <c r="F820" s="11" t="n"/>
      <c r="G820" s="11">
        <f>IF(E820="","",E820-N(F820))</f>
        <v/>
      </c>
    </row>
    <row r="821">
      <c r="A821" s="9" t="n"/>
      <c r="E821" s="11" t="n"/>
      <c r="F821" s="11" t="n"/>
      <c r="G821" s="11">
        <f>IF(E821="","",E821-N(F821))</f>
        <v/>
      </c>
    </row>
    <row r="822">
      <c r="A822" s="9" t="n"/>
      <c r="E822" s="11" t="n"/>
      <c r="F822" s="11" t="n"/>
      <c r="G822" s="11">
        <f>IF(E822="","",E822-N(F822))</f>
        <v/>
      </c>
    </row>
    <row r="823">
      <c r="A823" s="9" t="n"/>
      <c r="E823" s="11" t="n"/>
      <c r="F823" s="11" t="n"/>
      <c r="G823" s="11">
        <f>IF(E823="","",E823-N(F823))</f>
        <v/>
      </c>
    </row>
    <row r="824">
      <c r="A824" s="9" t="n"/>
      <c r="E824" s="11" t="n"/>
      <c r="F824" s="11" t="n"/>
      <c r="G824" s="11">
        <f>IF(E824="","",E824-N(F824))</f>
        <v/>
      </c>
    </row>
    <row r="825">
      <c r="A825" s="9" t="n"/>
      <c r="E825" s="11" t="n"/>
      <c r="F825" s="11" t="n"/>
      <c r="G825" s="11">
        <f>IF(E825="","",E825-N(F825))</f>
        <v/>
      </c>
    </row>
    <row r="826">
      <c r="A826" s="9" t="n"/>
      <c r="E826" s="11" t="n"/>
      <c r="F826" s="11" t="n"/>
      <c r="G826" s="11">
        <f>IF(E826="","",E826-N(F826))</f>
        <v/>
      </c>
    </row>
    <row r="827">
      <c r="A827" s="9" t="n"/>
      <c r="E827" s="11" t="n"/>
      <c r="F827" s="11" t="n"/>
      <c r="G827" s="11">
        <f>IF(E827="","",E827-N(F827))</f>
        <v/>
      </c>
    </row>
    <row r="828">
      <c r="A828" s="9" t="n"/>
      <c r="E828" s="11" t="n"/>
      <c r="F828" s="11" t="n"/>
      <c r="G828" s="11">
        <f>IF(E828="","",E828-N(F828))</f>
        <v/>
      </c>
    </row>
    <row r="829">
      <c r="A829" s="9" t="n"/>
      <c r="E829" s="11" t="n"/>
      <c r="F829" s="11" t="n"/>
      <c r="G829" s="11">
        <f>IF(E829="","",E829-N(F829))</f>
        <v/>
      </c>
    </row>
    <row r="830">
      <c r="A830" s="9" t="n"/>
      <c r="E830" s="11" t="n"/>
      <c r="F830" s="11" t="n"/>
      <c r="G830" s="11">
        <f>IF(E830="","",E830-N(F830))</f>
        <v/>
      </c>
    </row>
    <row r="831">
      <c r="A831" s="9" t="n"/>
      <c r="E831" s="11" t="n"/>
      <c r="F831" s="11" t="n"/>
      <c r="G831" s="11">
        <f>IF(E831="","",E831-N(F831))</f>
        <v/>
      </c>
    </row>
    <row r="832">
      <c r="A832" s="9" t="n"/>
      <c r="E832" s="11" t="n"/>
      <c r="F832" s="11" t="n"/>
      <c r="G832" s="11">
        <f>IF(E832="","",E832-N(F832))</f>
        <v/>
      </c>
    </row>
    <row r="833">
      <c r="A833" s="9" t="n"/>
      <c r="E833" s="11" t="n"/>
      <c r="F833" s="11" t="n"/>
      <c r="G833" s="11">
        <f>IF(E833="","",E833-N(F833))</f>
        <v/>
      </c>
    </row>
    <row r="834">
      <c r="A834" s="9" t="n"/>
      <c r="E834" s="11" t="n"/>
      <c r="F834" s="11" t="n"/>
      <c r="G834" s="11">
        <f>IF(E834="","",E834-N(F834))</f>
        <v/>
      </c>
    </row>
    <row r="835">
      <c r="A835" s="9" t="n"/>
      <c r="E835" s="11" t="n"/>
      <c r="F835" s="11" t="n"/>
      <c r="G835" s="11">
        <f>IF(E835="","",E835-N(F835))</f>
        <v/>
      </c>
    </row>
    <row r="836">
      <c r="A836" s="9" t="n"/>
      <c r="E836" s="11" t="n"/>
      <c r="F836" s="11" t="n"/>
      <c r="G836" s="11">
        <f>IF(E836="","",E836-N(F836))</f>
        <v/>
      </c>
    </row>
    <row r="837">
      <c r="A837" s="9" t="n"/>
      <c r="E837" s="11" t="n"/>
      <c r="F837" s="11" t="n"/>
      <c r="G837" s="11">
        <f>IF(E837="","",E837-N(F837))</f>
        <v/>
      </c>
    </row>
    <row r="838">
      <c r="A838" s="9" t="n"/>
      <c r="E838" s="11" t="n"/>
      <c r="F838" s="11" t="n"/>
      <c r="G838" s="11">
        <f>IF(E838="","",E838-N(F838))</f>
        <v/>
      </c>
    </row>
    <row r="839">
      <c r="A839" s="9" t="n"/>
      <c r="E839" s="11" t="n"/>
      <c r="F839" s="11" t="n"/>
      <c r="G839" s="11">
        <f>IF(E839="","",E839-N(F839))</f>
        <v/>
      </c>
    </row>
    <row r="840">
      <c r="A840" s="9" t="n"/>
      <c r="E840" s="11" t="n"/>
      <c r="F840" s="11" t="n"/>
      <c r="G840" s="11">
        <f>IF(E840="","",E840-N(F840))</f>
        <v/>
      </c>
    </row>
    <row r="841">
      <c r="A841" s="9" t="n"/>
      <c r="E841" s="11" t="n"/>
      <c r="F841" s="11" t="n"/>
      <c r="G841" s="11">
        <f>IF(E841="","",E841-N(F841))</f>
        <v/>
      </c>
    </row>
    <row r="842">
      <c r="A842" s="9" t="n"/>
      <c r="E842" s="11" t="n"/>
      <c r="F842" s="11" t="n"/>
      <c r="G842" s="11">
        <f>IF(E842="","",E842-N(F842))</f>
        <v/>
      </c>
    </row>
    <row r="843">
      <c r="A843" s="9" t="n"/>
      <c r="E843" s="11" t="n"/>
      <c r="F843" s="11" t="n"/>
      <c r="G843" s="11">
        <f>IF(E843="","",E843-N(F843))</f>
        <v/>
      </c>
    </row>
    <row r="844">
      <c r="A844" s="9" t="n"/>
      <c r="E844" s="11" t="n"/>
      <c r="F844" s="11" t="n"/>
      <c r="G844" s="11">
        <f>IF(E844="","",E844-N(F844))</f>
        <v/>
      </c>
    </row>
    <row r="845">
      <c r="A845" s="9" t="n"/>
      <c r="E845" s="11" t="n"/>
      <c r="F845" s="11" t="n"/>
      <c r="G845" s="11">
        <f>IF(E845="","",E845-N(F845))</f>
        <v/>
      </c>
    </row>
    <row r="846">
      <c r="A846" s="9" t="n"/>
      <c r="E846" s="11" t="n"/>
      <c r="F846" s="11" t="n"/>
      <c r="G846" s="11">
        <f>IF(E846="","",E846-N(F846))</f>
        <v/>
      </c>
    </row>
    <row r="847">
      <c r="A847" s="9" t="n"/>
      <c r="E847" s="11" t="n"/>
      <c r="F847" s="11" t="n"/>
      <c r="G847" s="11">
        <f>IF(E847="","",E847-N(F847))</f>
        <v/>
      </c>
    </row>
    <row r="848">
      <c r="A848" s="9" t="n"/>
      <c r="E848" s="11" t="n"/>
      <c r="F848" s="11" t="n"/>
      <c r="G848" s="11">
        <f>IF(E848="","",E848-N(F848))</f>
        <v/>
      </c>
    </row>
    <row r="849">
      <c r="A849" s="9" t="n"/>
      <c r="E849" s="11" t="n"/>
      <c r="F849" s="11" t="n"/>
      <c r="G849" s="11">
        <f>IF(E849="","",E849-N(F849))</f>
        <v/>
      </c>
    </row>
    <row r="850">
      <c r="A850" s="9" t="n"/>
      <c r="E850" s="11" t="n"/>
      <c r="F850" s="11" t="n"/>
      <c r="G850" s="11">
        <f>IF(E850="","",E850-N(F850))</f>
        <v/>
      </c>
    </row>
    <row r="851">
      <c r="A851" s="9" t="n"/>
      <c r="E851" s="11" t="n"/>
      <c r="F851" s="11" t="n"/>
      <c r="G851" s="11">
        <f>IF(E851="","",E851-N(F851))</f>
        <v/>
      </c>
    </row>
    <row r="852">
      <c r="A852" s="9" t="n"/>
      <c r="E852" s="11" t="n"/>
      <c r="F852" s="11" t="n"/>
      <c r="G852" s="11">
        <f>IF(E852="","",E852-N(F852))</f>
        <v/>
      </c>
    </row>
    <row r="853">
      <c r="A853" s="9" t="n"/>
      <c r="E853" s="11" t="n"/>
      <c r="F853" s="11" t="n"/>
      <c r="G853" s="11">
        <f>IF(E853="","",E853-N(F853))</f>
        <v/>
      </c>
    </row>
    <row r="854">
      <c r="A854" s="9" t="n"/>
      <c r="E854" s="11" t="n"/>
      <c r="F854" s="11" t="n"/>
      <c r="G854" s="11">
        <f>IF(E854="","",E854-N(F854))</f>
        <v/>
      </c>
    </row>
    <row r="855">
      <c r="A855" s="9" t="n"/>
      <c r="E855" s="11" t="n"/>
      <c r="F855" s="11" t="n"/>
      <c r="G855" s="11">
        <f>IF(E855="","",E855-N(F855))</f>
        <v/>
      </c>
    </row>
    <row r="856">
      <c r="A856" s="9" t="n"/>
      <c r="E856" s="11" t="n"/>
      <c r="F856" s="11" t="n"/>
      <c r="G856" s="11">
        <f>IF(E856="","",E856-N(F856))</f>
        <v/>
      </c>
    </row>
    <row r="857">
      <c r="A857" s="9" t="n"/>
      <c r="E857" s="11" t="n"/>
      <c r="F857" s="11" t="n"/>
      <c r="G857" s="11">
        <f>IF(E857="","",E857-N(F857))</f>
        <v/>
      </c>
    </row>
    <row r="858">
      <c r="A858" s="9" t="n"/>
      <c r="E858" s="11" t="n"/>
      <c r="F858" s="11" t="n"/>
      <c r="G858" s="11">
        <f>IF(E858="","",E858-N(F858))</f>
        <v/>
      </c>
    </row>
    <row r="859">
      <c r="A859" s="9" t="n"/>
      <c r="E859" s="11" t="n"/>
      <c r="F859" s="11" t="n"/>
      <c r="G859" s="11">
        <f>IF(E859="","",E859-N(F859))</f>
        <v/>
      </c>
    </row>
    <row r="860">
      <c r="A860" s="9" t="n"/>
      <c r="E860" s="11" t="n"/>
      <c r="F860" s="11" t="n"/>
      <c r="G860" s="11">
        <f>IF(E860="","",E860-N(F860))</f>
        <v/>
      </c>
    </row>
    <row r="861">
      <c r="A861" s="9" t="n"/>
      <c r="E861" s="11" t="n"/>
      <c r="F861" s="11" t="n"/>
      <c r="G861" s="11">
        <f>IF(E861="","",E861-N(F861))</f>
        <v/>
      </c>
    </row>
    <row r="862">
      <c r="A862" s="9" t="n"/>
      <c r="E862" s="11" t="n"/>
      <c r="F862" s="11" t="n"/>
      <c r="G862" s="11">
        <f>IF(E862="","",E862-N(F862))</f>
        <v/>
      </c>
    </row>
    <row r="863">
      <c r="A863" s="9" t="n"/>
      <c r="E863" s="11" t="n"/>
      <c r="F863" s="11" t="n"/>
      <c r="G863" s="11">
        <f>IF(E863="","",E863-N(F863))</f>
        <v/>
      </c>
    </row>
    <row r="864">
      <c r="A864" s="9" t="n"/>
      <c r="E864" s="11" t="n"/>
      <c r="F864" s="11" t="n"/>
      <c r="G864" s="11">
        <f>IF(E864="","",E864-N(F864))</f>
        <v/>
      </c>
    </row>
    <row r="865">
      <c r="A865" s="9" t="n"/>
      <c r="E865" s="11" t="n"/>
      <c r="F865" s="11" t="n"/>
      <c r="G865" s="11">
        <f>IF(E865="","",E865-N(F865))</f>
        <v/>
      </c>
    </row>
    <row r="866">
      <c r="A866" s="9" t="n"/>
      <c r="E866" s="11" t="n"/>
      <c r="F866" s="11" t="n"/>
      <c r="G866" s="11">
        <f>IF(E866="","",E866-N(F866))</f>
        <v/>
      </c>
    </row>
    <row r="867">
      <c r="A867" s="9" t="n"/>
      <c r="E867" s="11" t="n"/>
      <c r="F867" s="11" t="n"/>
      <c r="G867" s="11">
        <f>IF(E867="","",E867-N(F867))</f>
        <v/>
      </c>
    </row>
    <row r="868">
      <c r="A868" s="9" t="n"/>
      <c r="E868" s="11" t="n"/>
      <c r="F868" s="11" t="n"/>
      <c r="G868" s="11">
        <f>IF(E868="","",E868-N(F868))</f>
        <v/>
      </c>
    </row>
    <row r="869">
      <c r="A869" s="9" t="n"/>
      <c r="E869" s="11" t="n"/>
      <c r="F869" s="11" t="n"/>
      <c r="G869" s="11">
        <f>IF(E869="","",E869-N(F869))</f>
        <v/>
      </c>
    </row>
    <row r="870">
      <c r="A870" s="9" t="n"/>
      <c r="E870" s="11" t="n"/>
      <c r="F870" s="11" t="n"/>
      <c r="G870" s="11">
        <f>IF(E870="","",E870-N(F870))</f>
        <v/>
      </c>
    </row>
    <row r="871">
      <c r="A871" s="9" t="n"/>
      <c r="E871" s="11" t="n"/>
      <c r="F871" s="11" t="n"/>
      <c r="G871" s="11">
        <f>IF(E871="","",E871-N(F871))</f>
        <v/>
      </c>
    </row>
    <row r="872">
      <c r="A872" s="9" t="n"/>
      <c r="E872" s="11" t="n"/>
      <c r="F872" s="11" t="n"/>
      <c r="G872" s="11">
        <f>IF(E872="","",E872-N(F872))</f>
        <v/>
      </c>
    </row>
    <row r="873">
      <c r="A873" s="9" t="n"/>
      <c r="E873" s="11" t="n"/>
      <c r="F873" s="11" t="n"/>
      <c r="G873" s="11">
        <f>IF(E873="","",E873-N(F873))</f>
        <v/>
      </c>
    </row>
    <row r="874">
      <c r="A874" s="9" t="n"/>
      <c r="E874" s="11" t="n"/>
      <c r="F874" s="11" t="n"/>
      <c r="G874" s="11">
        <f>IF(E874="","",E874-N(F874))</f>
        <v/>
      </c>
    </row>
    <row r="875">
      <c r="A875" s="9" t="n"/>
      <c r="E875" s="11" t="n"/>
      <c r="F875" s="11" t="n"/>
      <c r="G875" s="11">
        <f>IF(E875="","",E875-N(F875))</f>
        <v/>
      </c>
    </row>
    <row r="876">
      <c r="A876" s="9" t="n"/>
      <c r="E876" s="11" t="n"/>
      <c r="F876" s="11" t="n"/>
      <c r="G876" s="11">
        <f>IF(E876="","",E876-N(F876))</f>
        <v/>
      </c>
    </row>
    <row r="877">
      <c r="A877" s="9" t="n"/>
      <c r="E877" s="11" t="n"/>
      <c r="F877" s="11" t="n"/>
      <c r="G877" s="11">
        <f>IF(E877="","",E877-N(F877))</f>
        <v/>
      </c>
    </row>
    <row r="878">
      <c r="A878" s="9" t="n"/>
      <c r="E878" s="11" t="n"/>
      <c r="F878" s="11" t="n"/>
      <c r="G878" s="11">
        <f>IF(E878="","",E878-N(F878))</f>
        <v/>
      </c>
    </row>
    <row r="879">
      <c r="A879" s="9" t="n"/>
      <c r="E879" s="11" t="n"/>
      <c r="F879" s="11" t="n"/>
      <c r="G879" s="11">
        <f>IF(E879="","",E879-N(F879))</f>
        <v/>
      </c>
    </row>
    <row r="880">
      <c r="A880" s="9" t="n"/>
      <c r="E880" s="11" t="n"/>
      <c r="F880" s="11" t="n"/>
      <c r="G880" s="11">
        <f>IF(E880="","",E880-N(F880))</f>
        <v/>
      </c>
    </row>
    <row r="881">
      <c r="A881" s="9" t="n"/>
      <c r="E881" s="11" t="n"/>
      <c r="F881" s="11" t="n"/>
      <c r="G881" s="11">
        <f>IF(E881="","",E881-N(F881))</f>
        <v/>
      </c>
    </row>
    <row r="882">
      <c r="A882" s="9" t="n"/>
      <c r="E882" s="11" t="n"/>
      <c r="F882" s="11" t="n"/>
      <c r="G882" s="11">
        <f>IF(E882="","",E882-N(F882))</f>
        <v/>
      </c>
    </row>
    <row r="883">
      <c r="A883" s="9" t="n"/>
      <c r="E883" s="11" t="n"/>
      <c r="F883" s="11" t="n"/>
      <c r="G883" s="11">
        <f>IF(E883="","",E883-N(F883))</f>
        <v/>
      </c>
    </row>
    <row r="884">
      <c r="A884" s="9" t="n"/>
      <c r="E884" s="11" t="n"/>
      <c r="F884" s="11" t="n"/>
      <c r="G884" s="11">
        <f>IF(E884="","",E884-N(F884))</f>
        <v/>
      </c>
    </row>
    <row r="885">
      <c r="A885" s="9" t="n"/>
      <c r="E885" s="11" t="n"/>
      <c r="F885" s="11" t="n"/>
      <c r="G885" s="11">
        <f>IF(E885="","",E885-N(F885))</f>
        <v/>
      </c>
    </row>
    <row r="886">
      <c r="A886" s="9" t="n"/>
      <c r="E886" s="11" t="n"/>
      <c r="F886" s="11" t="n"/>
      <c r="G886" s="11">
        <f>IF(E886="","",E886-N(F886))</f>
        <v/>
      </c>
    </row>
    <row r="887">
      <c r="A887" s="9" t="n"/>
      <c r="E887" s="11" t="n"/>
      <c r="F887" s="11" t="n"/>
      <c r="G887" s="11">
        <f>IF(E887="","",E887-N(F887))</f>
        <v/>
      </c>
    </row>
    <row r="888">
      <c r="A888" s="9" t="n"/>
      <c r="E888" s="11" t="n"/>
      <c r="F888" s="11" t="n"/>
      <c r="G888" s="11">
        <f>IF(E888="","",E888-N(F888))</f>
        <v/>
      </c>
    </row>
    <row r="889">
      <c r="A889" s="9" t="n"/>
      <c r="E889" s="11" t="n"/>
      <c r="F889" s="11" t="n"/>
      <c r="G889" s="11">
        <f>IF(E889="","",E889-N(F889))</f>
        <v/>
      </c>
    </row>
    <row r="890">
      <c r="A890" s="9" t="n"/>
      <c r="E890" s="11" t="n"/>
      <c r="F890" s="11" t="n"/>
      <c r="G890" s="11">
        <f>IF(E890="","",E890-N(F890))</f>
        <v/>
      </c>
    </row>
    <row r="891">
      <c r="A891" s="9" t="n"/>
      <c r="E891" s="11" t="n"/>
      <c r="F891" s="11" t="n"/>
      <c r="G891" s="11">
        <f>IF(E891="","",E891-N(F891))</f>
        <v/>
      </c>
    </row>
    <row r="892">
      <c r="A892" s="9" t="n"/>
      <c r="E892" s="11" t="n"/>
      <c r="F892" s="11" t="n"/>
      <c r="G892" s="11">
        <f>IF(E892="","",E892-N(F892))</f>
        <v/>
      </c>
    </row>
    <row r="893">
      <c r="A893" s="9" t="n"/>
      <c r="E893" s="11" t="n"/>
      <c r="F893" s="11" t="n"/>
      <c r="G893" s="11">
        <f>IF(E893="","",E893-N(F893))</f>
        <v/>
      </c>
    </row>
    <row r="894">
      <c r="A894" s="9" t="n"/>
      <c r="E894" s="11" t="n"/>
      <c r="F894" s="11" t="n"/>
      <c r="G894" s="11">
        <f>IF(E894="","",E894-N(F894))</f>
        <v/>
      </c>
    </row>
    <row r="895">
      <c r="A895" s="9" t="n"/>
      <c r="E895" s="11" t="n"/>
      <c r="F895" s="11" t="n"/>
      <c r="G895" s="11">
        <f>IF(E895="","",E895-N(F895))</f>
        <v/>
      </c>
    </row>
    <row r="896">
      <c r="A896" s="9" t="n"/>
      <c r="E896" s="11" t="n"/>
      <c r="F896" s="11" t="n"/>
      <c r="G896" s="11">
        <f>IF(E896="","",E896-N(F896))</f>
        <v/>
      </c>
    </row>
    <row r="897">
      <c r="A897" s="9" t="n"/>
      <c r="E897" s="11" t="n"/>
      <c r="F897" s="11" t="n"/>
      <c r="G897" s="11">
        <f>IF(E897="","",E897-N(F897))</f>
        <v/>
      </c>
    </row>
    <row r="898">
      <c r="A898" s="9" t="n"/>
      <c r="E898" s="11" t="n"/>
      <c r="F898" s="11" t="n"/>
      <c r="G898" s="11">
        <f>IF(E898="","",E898-N(F898))</f>
        <v/>
      </c>
    </row>
    <row r="899">
      <c r="A899" s="9" t="n"/>
      <c r="E899" s="11" t="n"/>
      <c r="F899" s="11" t="n"/>
      <c r="G899" s="11">
        <f>IF(E899="","",E899-N(F899))</f>
        <v/>
      </c>
    </row>
    <row r="900">
      <c r="A900" s="9" t="n"/>
      <c r="E900" s="11" t="n"/>
      <c r="F900" s="11" t="n"/>
      <c r="G900" s="11">
        <f>IF(E900="","",E900-N(F900))</f>
        <v/>
      </c>
    </row>
    <row r="901">
      <c r="A901" s="9" t="n"/>
      <c r="E901" s="11" t="n"/>
      <c r="F901" s="11" t="n"/>
      <c r="G901" s="11">
        <f>IF(E901="","",E901-N(F901))</f>
        <v/>
      </c>
    </row>
    <row r="902">
      <c r="A902" s="9" t="n"/>
      <c r="E902" s="11" t="n"/>
      <c r="F902" s="11" t="n"/>
      <c r="G902" s="11">
        <f>IF(E902="","",E902-N(F902))</f>
        <v/>
      </c>
    </row>
    <row r="903">
      <c r="A903" s="9" t="n"/>
      <c r="E903" s="11" t="n"/>
      <c r="F903" s="11" t="n"/>
      <c r="G903" s="11">
        <f>IF(E903="","",E903-N(F903))</f>
        <v/>
      </c>
    </row>
    <row r="904">
      <c r="A904" s="9" t="n"/>
      <c r="E904" s="11" t="n"/>
      <c r="F904" s="11" t="n"/>
      <c r="G904" s="11">
        <f>IF(E904="","",E904-N(F904))</f>
        <v/>
      </c>
    </row>
    <row r="905">
      <c r="A905" s="9" t="n"/>
      <c r="E905" s="11" t="n"/>
      <c r="F905" s="11" t="n"/>
      <c r="G905" s="11">
        <f>IF(E905="","",E905-N(F905))</f>
        <v/>
      </c>
    </row>
    <row r="906">
      <c r="A906" s="9" t="n"/>
      <c r="E906" s="11" t="n"/>
      <c r="F906" s="11" t="n"/>
      <c r="G906" s="11">
        <f>IF(E906="","",E906-N(F906))</f>
        <v/>
      </c>
    </row>
    <row r="907">
      <c r="A907" s="9" t="n"/>
      <c r="E907" s="11" t="n"/>
      <c r="F907" s="11" t="n"/>
      <c r="G907" s="11">
        <f>IF(E907="","",E907-N(F907))</f>
        <v/>
      </c>
    </row>
    <row r="908">
      <c r="A908" s="9" t="n"/>
      <c r="E908" s="11" t="n"/>
      <c r="F908" s="11" t="n"/>
      <c r="G908" s="11">
        <f>IF(E908="","",E908-N(F908))</f>
        <v/>
      </c>
    </row>
    <row r="909">
      <c r="A909" s="9" t="n"/>
      <c r="E909" s="11" t="n"/>
      <c r="F909" s="11" t="n"/>
      <c r="G909" s="11">
        <f>IF(E909="","",E909-N(F909))</f>
        <v/>
      </c>
    </row>
    <row r="910">
      <c r="A910" s="9" t="n"/>
      <c r="E910" s="11" t="n"/>
      <c r="F910" s="11" t="n"/>
      <c r="G910" s="11">
        <f>IF(E910="","",E910-N(F910))</f>
        <v/>
      </c>
    </row>
    <row r="911">
      <c r="A911" s="9" t="n"/>
      <c r="E911" s="11" t="n"/>
      <c r="F911" s="11" t="n"/>
      <c r="G911" s="11">
        <f>IF(E911="","",E911-N(F911))</f>
        <v/>
      </c>
    </row>
    <row r="912">
      <c r="A912" s="9" t="n"/>
      <c r="E912" s="11" t="n"/>
      <c r="F912" s="11" t="n"/>
      <c r="G912" s="11">
        <f>IF(E912="","",E912-N(F912))</f>
        <v/>
      </c>
    </row>
    <row r="913">
      <c r="A913" s="9" t="n"/>
      <c r="E913" s="11" t="n"/>
      <c r="F913" s="11" t="n"/>
      <c r="G913" s="11">
        <f>IF(E913="","",E913-N(F913))</f>
        <v/>
      </c>
    </row>
    <row r="914">
      <c r="A914" s="9" t="n"/>
      <c r="E914" s="11" t="n"/>
      <c r="F914" s="11" t="n"/>
      <c r="G914" s="11">
        <f>IF(E914="","",E914-N(F914))</f>
        <v/>
      </c>
    </row>
    <row r="915">
      <c r="A915" s="9" t="n"/>
      <c r="E915" s="11" t="n"/>
      <c r="F915" s="11" t="n"/>
      <c r="G915" s="11">
        <f>IF(E915="","",E915-N(F915))</f>
        <v/>
      </c>
    </row>
    <row r="916">
      <c r="A916" s="9" t="n"/>
      <c r="E916" s="11" t="n"/>
      <c r="F916" s="11" t="n"/>
      <c r="G916" s="11">
        <f>IF(E916="","",E916-N(F916))</f>
        <v/>
      </c>
    </row>
    <row r="917">
      <c r="A917" s="9" t="n"/>
      <c r="E917" s="11" t="n"/>
      <c r="F917" s="11" t="n"/>
      <c r="G917" s="11">
        <f>IF(E917="","",E917-N(F917))</f>
        <v/>
      </c>
    </row>
    <row r="918">
      <c r="A918" s="9" t="n"/>
      <c r="E918" s="11" t="n"/>
      <c r="F918" s="11" t="n"/>
      <c r="G918" s="11">
        <f>IF(E918="","",E918-N(F918))</f>
        <v/>
      </c>
    </row>
    <row r="919">
      <c r="A919" s="9" t="n"/>
      <c r="E919" s="11" t="n"/>
      <c r="F919" s="11" t="n"/>
      <c r="G919" s="11">
        <f>IF(E919="","",E919-N(F919))</f>
        <v/>
      </c>
    </row>
    <row r="920">
      <c r="A920" s="9" t="n"/>
      <c r="E920" s="11" t="n"/>
      <c r="F920" s="11" t="n"/>
      <c r="G920" s="11">
        <f>IF(E920="","",E920-N(F920))</f>
        <v/>
      </c>
    </row>
    <row r="921">
      <c r="A921" s="9" t="n"/>
      <c r="E921" s="11" t="n"/>
      <c r="F921" s="11" t="n"/>
      <c r="G921" s="11">
        <f>IF(E921="","",E921-N(F921))</f>
        <v/>
      </c>
    </row>
    <row r="922">
      <c r="A922" s="9" t="n"/>
      <c r="E922" s="11" t="n"/>
      <c r="F922" s="11" t="n"/>
      <c r="G922" s="11">
        <f>IF(E922="","",E922-N(F922))</f>
        <v/>
      </c>
    </row>
    <row r="923">
      <c r="A923" s="9" t="n"/>
      <c r="E923" s="11" t="n"/>
      <c r="F923" s="11" t="n"/>
      <c r="G923" s="11">
        <f>IF(E923="","",E923-N(F923))</f>
        <v/>
      </c>
    </row>
    <row r="924">
      <c r="A924" s="9" t="n"/>
      <c r="E924" s="11" t="n"/>
      <c r="F924" s="11" t="n"/>
      <c r="G924" s="11">
        <f>IF(E924="","",E924-N(F924))</f>
        <v/>
      </c>
    </row>
    <row r="925">
      <c r="A925" s="9" t="n"/>
      <c r="E925" s="11" t="n"/>
      <c r="F925" s="11" t="n"/>
      <c r="G925" s="11">
        <f>IF(E925="","",E925-N(F925))</f>
        <v/>
      </c>
    </row>
    <row r="926">
      <c r="A926" s="9" t="n"/>
      <c r="E926" s="11" t="n"/>
      <c r="F926" s="11" t="n"/>
      <c r="G926" s="11">
        <f>IF(E926="","",E926-N(F926))</f>
        <v/>
      </c>
    </row>
    <row r="927">
      <c r="A927" s="9" t="n"/>
      <c r="E927" s="11" t="n"/>
      <c r="F927" s="11" t="n"/>
      <c r="G927" s="11">
        <f>IF(E927="","",E927-N(F927))</f>
        <v/>
      </c>
    </row>
    <row r="928">
      <c r="A928" s="9" t="n"/>
      <c r="E928" s="11" t="n"/>
      <c r="F928" s="11" t="n"/>
      <c r="G928" s="11">
        <f>IF(E928="","",E928-N(F928))</f>
        <v/>
      </c>
    </row>
    <row r="929">
      <c r="A929" s="9" t="n"/>
      <c r="E929" s="11" t="n"/>
      <c r="F929" s="11" t="n"/>
      <c r="G929" s="11">
        <f>IF(E929="","",E929-N(F929))</f>
        <v/>
      </c>
    </row>
    <row r="930">
      <c r="A930" s="9" t="n"/>
      <c r="E930" s="11" t="n"/>
      <c r="F930" s="11" t="n"/>
      <c r="G930" s="11">
        <f>IF(E930="","",E930-N(F930))</f>
        <v/>
      </c>
    </row>
    <row r="931">
      <c r="A931" s="9" t="n"/>
      <c r="E931" s="11" t="n"/>
      <c r="F931" s="11" t="n"/>
      <c r="G931" s="11">
        <f>IF(E931="","",E931-N(F931))</f>
        <v/>
      </c>
    </row>
    <row r="932">
      <c r="A932" s="9" t="n"/>
      <c r="E932" s="11" t="n"/>
      <c r="F932" s="11" t="n"/>
      <c r="G932" s="11">
        <f>IF(E932="","",E932-N(F932))</f>
        <v/>
      </c>
    </row>
    <row r="933">
      <c r="A933" s="9" t="n"/>
      <c r="E933" s="11" t="n"/>
      <c r="F933" s="11" t="n"/>
      <c r="G933" s="11">
        <f>IF(E933="","",E933-N(F933))</f>
        <v/>
      </c>
    </row>
    <row r="934">
      <c r="A934" s="9" t="n"/>
      <c r="E934" s="11" t="n"/>
      <c r="F934" s="11" t="n"/>
      <c r="G934" s="11">
        <f>IF(E934="","",E934-N(F934))</f>
        <v/>
      </c>
    </row>
    <row r="935">
      <c r="A935" s="9" t="n"/>
      <c r="E935" s="11" t="n"/>
      <c r="F935" s="11" t="n"/>
      <c r="G935" s="11">
        <f>IF(E935="","",E935-N(F935))</f>
        <v/>
      </c>
    </row>
    <row r="936">
      <c r="A936" s="9" t="n"/>
      <c r="E936" s="11" t="n"/>
      <c r="F936" s="11" t="n"/>
      <c r="G936" s="11">
        <f>IF(E936="","",E936-N(F936))</f>
        <v/>
      </c>
    </row>
    <row r="937">
      <c r="A937" s="9" t="n"/>
      <c r="E937" s="11" t="n"/>
      <c r="F937" s="11" t="n"/>
      <c r="G937" s="11">
        <f>IF(E937="","",E937-N(F937))</f>
        <v/>
      </c>
    </row>
    <row r="938">
      <c r="A938" s="9" t="n"/>
      <c r="E938" s="11" t="n"/>
      <c r="F938" s="11" t="n"/>
      <c r="G938" s="11">
        <f>IF(E938="","",E938-N(F938))</f>
        <v/>
      </c>
    </row>
    <row r="939">
      <c r="A939" s="9" t="n"/>
      <c r="E939" s="11" t="n"/>
      <c r="F939" s="11" t="n"/>
      <c r="G939" s="11">
        <f>IF(E939="","",E939-N(F939))</f>
        <v/>
      </c>
    </row>
    <row r="940">
      <c r="A940" s="9" t="n"/>
      <c r="E940" s="11" t="n"/>
      <c r="F940" s="11" t="n"/>
      <c r="G940" s="11">
        <f>IF(E940="","",E940-N(F940))</f>
        <v/>
      </c>
    </row>
    <row r="941">
      <c r="A941" s="9" t="n"/>
      <c r="E941" s="11" t="n"/>
      <c r="F941" s="11" t="n"/>
      <c r="G941" s="11">
        <f>IF(E941="","",E941-N(F941))</f>
        <v/>
      </c>
    </row>
    <row r="942">
      <c r="A942" s="9" t="n"/>
      <c r="E942" s="11" t="n"/>
      <c r="F942" s="11" t="n"/>
      <c r="G942" s="11">
        <f>IF(E942="","",E942-N(F942))</f>
        <v/>
      </c>
    </row>
    <row r="943">
      <c r="A943" s="9" t="n"/>
      <c r="E943" s="11" t="n"/>
      <c r="F943" s="11" t="n"/>
      <c r="G943" s="11">
        <f>IF(E943="","",E943-N(F943))</f>
        <v/>
      </c>
    </row>
    <row r="944">
      <c r="A944" s="9" t="n"/>
      <c r="E944" s="11" t="n"/>
      <c r="F944" s="11" t="n"/>
      <c r="G944" s="11">
        <f>IF(E944="","",E944-N(F944))</f>
        <v/>
      </c>
    </row>
    <row r="945">
      <c r="A945" s="9" t="n"/>
      <c r="E945" s="11" t="n"/>
      <c r="F945" s="11" t="n"/>
      <c r="G945" s="11">
        <f>IF(E945="","",E945-N(F945))</f>
        <v/>
      </c>
    </row>
    <row r="946">
      <c r="A946" s="9" t="n"/>
      <c r="E946" s="11" t="n"/>
      <c r="F946" s="11" t="n"/>
      <c r="G946" s="11">
        <f>IF(E946="","",E946-N(F946))</f>
        <v/>
      </c>
    </row>
    <row r="947">
      <c r="A947" s="9" t="n"/>
      <c r="E947" s="11" t="n"/>
      <c r="F947" s="11" t="n"/>
      <c r="G947" s="11">
        <f>IF(E947="","",E947-N(F947))</f>
        <v/>
      </c>
    </row>
    <row r="948">
      <c r="A948" s="9" t="n"/>
      <c r="E948" s="11" t="n"/>
      <c r="F948" s="11" t="n"/>
      <c r="G948" s="11">
        <f>IF(E948="","",E948-N(F948))</f>
        <v/>
      </c>
    </row>
    <row r="949">
      <c r="A949" s="9" t="n"/>
      <c r="E949" s="11" t="n"/>
      <c r="F949" s="11" t="n"/>
      <c r="G949" s="11">
        <f>IF(E949="","",E949-N(F949))</f>
        <v/>
      </c>
    </row>
    <row r="950">
      <c r="A950" s="9" t="n"/>
      <c r="E950" s="11" t="n"/>
      <c r="F950" s="11" t="n"/>
      <c r="G950" s="11">
        <f>IF(E950="","",E950-N(F950))</f>
        <v/>
      </c>
    </row>
    <row r="951">
      <c r="A951" s="9" t="n"/>
      <c r="E951" s="11" t="n"/>
      <c r="F951" s="11" t="n"/>
      <c r="G951" s="11">
        <f>IF(E951="","",E951-N(F951))</f>
        <v/>
      </c>
    </row>
    <row r="952">
      <c r="A952" s="9" t="n"/>
      <c r="E952" s="11" t="n"/>
      <c r="F952" s="11" t="n"/>
      <c r="G952" s="11">
        <f>IF(E952="","",E952-N(F952))</f>
        <v/>
      </c>
    </row>
    <row r="953">
      <c r="A953" s="9" t="n"/>
      <c r="E953" s="11" t="n"/>
      <c r="F953" s="11" t="n"/>
      <c r="G953" s="11">
        <f>IF(E953="","",E953-N(F953))</f>
        <v/>
      </c>
    </row>
    <row r="954">
      <c r="A954" s="9" t="n"/>
      <c r="E954" s="11" t="n"/>
      <c r="F954" s="11" t="n"/>
      <c r="G954" s="11">
        <f>IF(E954="","",E954-N(F954))</f>
        <v/>
      </c>
    </row>
    <row r="955">
      <c r="A955" s="9" t="n"/>
      <c r="E955" s="11" t="n"/>
      <c r="F955" s="11" t="n"/>
      <c r="G955" s="11">
        <f>IF(E955="","",E955-N(F955))</f>
        <v/>
      </c>
    </row>
    <row r="956">
      <c r="A956" s="9" t="n"/>
      <c r="E956" s="11" t="n"/>
      <c r="F956" s="11" t="n"/>
      <c r="G956" s="11">
        <f>IF(E956="","",E956-N(F956))</f>
        <v/>
      </c>
    </row>
    <row r="957">
      <c r="A957" s="9" t="n"/>
      <c r="E957" s="11" t="n"/>
      <c r="F957" s="11" t="n"/>
      <c r="G957" s="11">
        <f>IF(E957="","",E957-N(F957))</f>
        <v/>
      </c>
    </row>
    <row r="958">
      <c r="A958" s="9" t="n"/>
      <c r="E958" s="11" t="n"/>
      <c r="F958" s="11" t="n"/>
      <c r="G958" s="11">
        <f>IF(E958="","",E958-N(F958))</f>
        <v/>
      </c>
    </row>
    <row r="959">
      <c r="A959" s="9" t="n"/>
      <c r="E959" s="11" t="n"/>
      <c r="F959" s="11" t="n"/>
      <c r="G959" s="11">
        <f>IF(E959="","",E959-N(F959))</f>
        <v/>
      </c>
    </row>
    <row r="960">
      <c r="A960" s="9" t="n"/>
      <c r="E960" s="11" t="n"/>
      <c r="F960" s="11" t="n"/>
      <c r="G960" s="11">
        <f>IF(E960="","",E960-N(F960))</f>
        <v/>
      </c>
    </row>
    <row r="961">
      <c r="A961" s="9" t="n"/>
      <c r="E961" s="11" t="n"/>
      <c r="F961" s="11" t="n"/>
      <c r="G961" s="11">
        <f>IF(E961="","",E961-N(F961))</f>
        <v/>
      </c>
    </row>
    <row r="962">
      <c r="A962" s="9" t="n"/>
      <c r="E962" s="11" t="n"/>
      <c r="F962" s="11" t="n"/>
      <c r="G962" s="11">
        <f>IF(E962="","",E962-N(F962))</f>
        <v/>
      </c>
    </row>
    <row r="963">
      <c r="A963" s="9" t="n"/>
      <c r="E963" s="11" t="n"/>
      <c r="F963" s="11" t="n"/>
      <c r="G963" s="11">
        <f>IF(E963="","",E963-N(F963))</f>
        <v/>
      </c>
    </row>
    <row r="964">
      <c r="A964" s="9" t="n"/>
      <c r="E964" s="11" t="n"/>
      <c r="F964" s="11" t="n"/>
      <c r="G964" s="11">
        <f>IF(E964="","",E964-N(F964))</f>
        <v/>
      </c>
    </row>
    <row r="965">
      <c r="A965" s="9" t="n"/>
      <c r="E965" s="11" t="n"/>
      <c r="F965" s="11" t="n"/>
      <c r="G965" s="11">
        <f>IF(E965="","",E965-N(F965))</f>
        <v/>
      </c>
    </row>
    <row r="966">
      <c r="A966" s="9" t="n"/>
      <c r="E966" s="11" t="n"/>
      <c r="F966" s="11" t="n"/>
      <c r="G966" s="11">
        <f>IF(E966="","",E966-N(F966))</f>
        <v/>
      </c>
    </row>
    <row r="967">
      <c r="A967" s="9" t="n"/>
      <c r="E967" s="11" t="n"/>
      <c r="F967" s="11" t="n"/>
      <c r="G967" s="11">
        <f>IF(E967="","",E967-N(F967))</f>
        <v/>
      </c>
    </row>
    <row r="968">
      <c r="A968" s="9" t="n"/>
      <c r="E968" s="11" t="n"/>
      <c r="F968" s="11" t="n"/>
      <c r="G968" s="11">
        <f>IF(E968="","",E968-N(F968))</f>
        <v/>
      </c>
    </row>
    <row r="969">
      <c r="A969" s="9" t="n"/>
      <c r="E969" s="11" t="n"/>
      <c r="F969" s="11" t="n"/>
      <c r="G969" s="11">
        <f>IF(E969="","",E969-N(F969))</f>
        <v/>
      </c>
    </row>
    <row r="970">
      <c r="A970" s="9" t="n"/>
      <c r="E970" s="11" t="n"/>
      <c r="F970" s="11" t="n"/>
      <c r="G970" s="11">
        <f>IF(E970="","",E970-N(F970))</f>
        <v/>
      </c>
    </row>
    <row r="971">
      <c r="A971" s="9" t="n"/>
      <c r="E971" s="11" t="n"/>
      <c r="F971" s="11" t="n"/>
      <c r="G971" s="11">
        <f>IF(E971="","",E971-N(F971))</f>
        <v/>
      </c>
    </row>
    <row r="972">
      <c r="A972" s="9" t="n"/>
      <c r="E972" s="11" t="n"/>
      <c r="F972" s="11" t="n"/>
      <c r="G972" s="11">
        <f>IF(E972="","",E972-N(F972))</f>
        <v/>
      </c>
    </row>
    <row r="973">
      <c r="A973" s="9" t="n"/>
      <c r="E973" s="11" t="n"/>
      <c r="F973" s="11" t="n"/>
      <c r="G973" s="11">
        <f>IF(E973="","",E973-N(F973))</f>
        <v/>
      </c>
    </row>
    <row r="974">
      <c r="A974" s="9" t="n"/>
      <c r="E974" s="11" t="n"/>
      <c r="F974" s="11" t="n"/>
      <c r="G974" s="11">
        <f>IF(E974="","",E974-N(F974))</f>
        <v/>
      </c>
    </row>
    <row r="975">
      <c r="A975" s="9" t="n"/>
      <c r="E975" s="11" t="n"/>
      <c r="F975" s="11" t="n"/>
      <c r="G975" s="11">
        <f>IF(E975="","",E975-N(F975))</f>
        <v/>
      </c>
    </row>
    <row r="976">
      <c r="A976" s="9" t="n"/>
      <c r="E976" s="11" t="n"/>
      <c r="F976" s="11" t="n"/>
      <c r="G976" s="11">
        <f>IF(E976="","",E976-N(F976))</f>
        <v/>
      </c>
    </row>
    <row r="977">
      <c r="A977" s="9" t="n"/>
      <c r="E977" s="11" t="n"/>
      <c r="F977" s="11" t="n"/>
      <c r="G977" s="11">
        <f>IF(E977="","",E977-N(F977))</f>
        <v/>
      </c>
    </row>
    <row r="978">
      <c r="A978" s="9" t="n"/>
      <c r="E978" s="11" t="n"/>
      <c r="F978" s="11" t="n"/>
      <c r="G978" s="11">
        <f>IF(E978="","",E978-N(F978))</f>
        <v/>
      </c>
    </row>
    <row r="979">
      <c r="A979" s="9" t="n"/>
      <c r="E979" s="11" t="n"/>
      <c r="F979" s="11" t="n"/>
      <c r="G979" s="11">
        <f>IF(E979="","",E979-N(F979))</f>
        <v/>
      </c>
    </row>
    <row r="980">
      <c r="A980" s="9" t="n"/>
      <c r="E980" s="11" t="n"/>
      <c r="F980" s="11" t="n"/>
      <c r="G980" s="11">
        <f>IF(E980="","",E980-N(F980))</f>
        <v/>
      </c>
    </row>
    <row r="981">
      <c r="A981" s="9" t="n"/>
      <c r="E981" s="11" t="n"/>
      <c r="F981" s="11" t="n"/>
      <c r="G981" s="11">
        <f>IF(E981="","",E981-N(F981))</f>
        <v/>
      </c>
    </row>
    <row r="982">
      <c r="A982" s="9" t="n"/>
      <c r="E982" s="11" t="n"/>
      <c r="F982" s="11" t="n"/>
      <c r="G982" s="11">
        <f>IF(E982="","",E982-N(F982))</f>
        <v/>
      </c>
    </row>
    <row r="983">
      <c r="A983" s="9" t="n"/>
      <c r="E983" s="11" t="n"/>
      <c r="F983" s="11" t="n"/>
      <c r="G983" s="11">
        <f>IF(E983="","",E983-N(F983))</f>
        <v/>
      </c>
    </row>
    <row r="984">
      <c r="A984" s="9" t="n"/>
      <c r="E984" s="11" t="n"/>
      <c r="F984" s="11" t="n"/>
      <c r="G984" s="11">
        <f>IF(E984="","",E984-N(F984))</f>
        <v/>
      </c>
    </row>
    <row r="985">
      <c r="A985" s="9" t="n"/>
      <c r="E985" s="11" t="n"/>
      <c r="F985" s="11" t="n"/>
      <c r="G985" s="11">
        <f>IF(E985="","",E985-N(F985))</f>
        <v/>
      </c>
    </row>
    <row r="986">
      <c r="A986" s="9" t="n"/>
      <c r="E986" s="11" t="n"/>
      <c r="F986" s="11" t="n"/>
      <c r="G986" s="11">
        <f>IF(E986="","",E986-N(F986))</f>
        <v/>
      </c>
    </row>
    <row r="987">
      <c r="A987" s="9" t="n"/>
      <c r="E987" s="11" t="n"/>
      <c r="F987" s="11" t="n"/>
      <c r="G987" s="11">
        <f>IF(E987="","",E987-N(F987))</f>
        <v/>
      </c>
    </row>
    <row r="988">
      <c r="A988" s="9" t="n"/>
      <c r="E988" s="11" t="n"/>
      <c r="F988" s="11" t="n"/>
      <c r="G988" s="11">
        <f>IF(E988="","",E988-N(F988))</f>
        <v/>
      </c>
    </row>
    <row r="989">
      <c r="A989" s="9" t="n"/>
      <c r="E989" s="11" t="n"/>
      <c r="F989" s="11" t="n"/>
      <c r="G989" s="11">
        <f>IF(E989="","",E989-N(F989))</f>
        <v/>
      </c>
    </row>
    <row r="990">
      <c r="A990" s="9" t="n"/>
      <c r="E990" s="11" t="n"/>
      <c r="F990" s="11" t="n"/>
      <c r="G990" s="11">
        <f>IF(E990="","",E990-N(F990))</f>
        <v/>
      </c>
    </row>
    <row r="991">
      <c r="A991" s="9" t="n"/>
      <c r="E991" s="11" t="n"/>
      <c r="F991" s="11" t="n"/>
      <c r="G991" s="11">
        <f>IF(E991="","",E991-N(F991))</f>
        <v/>
      </c>
    </row>
    <row r="992">
      <c r="A992" s="9" t="n"/>
      <c r="E992" s="11" t="n"/>
      <c r="F992" s="11" t="n"/>
      <c r="G992" s="11">
        <f>IF(E992="","",E992-N(F992))</f>
        <v/>
      </c>
    </row>
    <row r="993">
      <c r="A993" s="9" t="n"/>
      <c r="E993" s="11" t="n"/>
      <c r="F993" s="11" t="n"/>
      <c r="G993" s="11">
        <f>IF(E993="","",E993-N(F993))</f>
        <v/>
      </c>
    </row>
    <row r="994">
      <c r="A994" s="9" t="n"/>
      <c r="E994" s="11" t="n"/>
      <c r="F994" s="11" t="n"/>
      <c r="G994" s="11">
        <f>IF(E994="","",E994-N(F994))</f>
        <v/>
      </c>
    </row>
    <row r="995">
      <c r="A995" s="9" t="n"/>
      <c r="E995" s="11" t="n"/>
      <c r="F995" s="11" t="n"/>
      <c r="G995" s="11">
        <f>IF(E995="","",E995-N(F995))</f>
        <v/>
      </c>
    </row>
    <row r="996">
      <c r="A996" s="9" t="n"/>
      <c r="E996" s="11" t="n"/>
      <c r="F996" s="11" t="n"/>
      <c r="G996" s="11">
        <f>IF(E996="","",E996-N(F996))</f>
        <v/>
      </c>
    </row>
    <row r="997">
      <c r="A997" s="9" t="n"/>
      <c r="E997" s="11" t="n"/>
      <c r="F997" s="11" t="n"/>
      <c r="G997" s="11">
        <f>IF(E997="","",E997-N(F997))</f>
        <v/>
      </c>
    </row>
    <row r="998">
      <c r="A998" s="9" t="n"/>
      <c r="E998" s="11" t="n"/>
      <c r="F998" s="11" t="n"/>
      <c r="G998" s="11">
        <f>IF(E998="","",E998-N(F998))</f>
        <v/>
      </c>
    </row>
    <row r="999">
      <c r="A999" s="9" t="n"/>
      <c r="E999" s="11" t="n"/>
      <c r="F999" s="11" t="n"/>
      <c r="G999" s="11">
        <f>IF(E999="","",E999-N(F999))</f>
        <v/>
      </c>
    </row>
    <row r="1000">
      <c r="A1000" s="9" t="n"/>
      <c r="E1000" s="11" t="n"/>
      <c r="F1000" s="11" t="n"/>
      <c r="G1000" s="11">
        <f>IF(E1000="","",E1000-N(F1000))</f>
        <v/>
      </c>
    </row>
    <row r="1001">
      <c r="A1001" s="9" t="n"/>
      <c r="E1001" s="11" t="n"/>
      <c r="F1001" s="11" t="n"/>
      <c r="G1001" s="11">
        <f>IF(E1001="","",E1001-N(F1001))</f>
        <v/>
      </c>
    </row>
  </sheetData>
  <dataValidations count="1">
    <dataValidation sqref="D2:D1001" showDropDown="0" showInputMessage="0" showErrorMessage="1" allowBlank="1" error="Pick a category from the list" type="list">
      <formula1>=Lists!$B$2:$B$8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22" customWidth="1" min="4" max="4"/>
    <col width="60" customWidth="1" min="6" max="6"/>
  </cols>
  <sheetData>
    <row r="1">
      <c r="A1" s="10" t="inlineStr">
        <is>
          <t>Date</t>
        </is>
      </c>
      <c r="B1" s="10" t="inlineStr">
        <is>
          <t>Lender</t>
        </is>
      </c>
      <c r="C1" s="10" t="inlineStr">
        <is>
          <t>Property</t>
        </is>
      </c>
      <c r="D1" s="10" t="inlineStr">
        <is>
          <t>Interest and finance costs £</t>
        </is>
      </c>
      <c r="F1" s="12" t="inlineStr">
        <is>
          <t>Year total £</t>
        </is>
      </c>
      <c r="G1" s="11">
        <f>SUM(D2:D201)</f>
        <v/>
      </c>
    </row>
    <row r="2">
      <c r="A2" s="9" t="n"/>
      <c r="D2" s="11" t="n"/>
      <c r="F2" t="inlineStr">
        <is>
          <t>Estimated 20% tax credit £</t>
        </is>
      </c>
      <c r="G2" s="11">
        <f>G1*0.2</f>
        <v/>
      </c>
    </row>
    <row r="3">
      <c r="A3" s="9" t="n"/>
      <c r="D3" s="11" t="n"/>
    </row>
    <row r="4">
      <c r="A4" s="9" t="n"/>
      <c r="D4" s="11" t="n"/>
      <c r="F4" s="3" t="inlineStr">
        <is>
          <t>Mortgage interest on residential lets is not deducted from rental profit. Instead you get a tax credit of 20% of these costs (the credit can be limited; see gov.uk 'restricting finance cost relief').</t>
        </is>
      </c>
    </row>
    <row r="5">
      <c r="A5" s="9" t="n"/>
      <c r="D5" s="11" t="n"/>
    </row>
    <row r="6">
      <c r="A6" s="9" t="n"/>
      <c r="D6" s="11" t="n"/>
    </row>
    <row r="7">
      <c r="A7" s="9" t="n"/>
      <c r="D7" s="11" t="n"/>
    </row>
    <row r="8">
      <c r="A8" s="9" t="n"/>
      <c r="D8" s="11" t="n"/>
    </row>
    <row r="9">
      <c r="A9" s="9" t="n"/>
      <c r="D9" s="11" t="n"/>
    </row>
    <row r="10">
      <c r="A10" s="9" t="n"/>
      <c r="D10" s="11" t="n"/>
    </row>
    <row r="11">
      <c r="A11" s="9" t="n"/>
      <c r="D11" s="11" t="n"/>
    </row>
    <row r="12">
      <c r="A12" s="9" t="n"/>
      <c r="D12" s="11" t="n"/>
    </row>
    <row r="13">
      <c r="A13" s="9" t="n"/>
      <c r="D13" s="11" t="n"/>
    </row>
    <row r="14">
      <c r="A14" s="9" t="n"/>
      <c r="D14" s="11" t="n"/>
    </row>
    <row r="15">
      <c r="A15" s="9" t="n"/>
      <c r="D15" s="11" t="n"/>
    </row>
    <row r="16">
      <c r="A16" s="9" t="n"/>
      <c r="D16" s="11" t="n"/>
    </row>
    <row r="17">
      <c r="A17" s="9" t="n"/>
      <c r="D17" s="11" t="n"/>
    </row>
    <row r="18">
      <c r="A18" s="9" t="n"/>
      <c r="D18" s="11" t="n"/>
    </row>
    <row r="19">
      <c r="A19" s="9" t="n"/>
      <c r="D19" s="11" t="n"/>
    </row>
    <row r="20">
      <c r="A20" s="9" t="n"/>
      <c r="D20" s="11" t="n"/>
    </row>
    <row r="21">
      <c r="A21" s="9" t="n"/>
      <c r="D21" s="11" t="n"/>
    </row>
    <row r="22">
      <c r="A22" s="9" t="n"/>
      <c r="D22" s="11" t="n"/>
    </row>
    <row r="23">
      <c r="A23" s="9" t="n"/>
      <c r="D23" s="11" t="n"/>
    </row>
    <row r="24">
      <c r="A24" s="9" t="n"/>
      <c r="D24" s="11" t="n"/>
    </row>
    <row r="25">
      <c r="A25" s="9" t="n"/>
      <c r="D25" s="11" t="n"/>
    </row>
    <row r="26">
      <c r="A26" s="9" t="n"/>
      <c r="D26" s="11" t="n"/>
    </row>
    <row r="27">
      <c r="A27" s="9" t="n"/>
      <c r="D27" s="11" t="n"/>
    </row>
    <row r="28">
      <c r="A28" s="9" t="n"/>
      <c r="D28" s="11" t="n"/>
    </row>
    <row r="29">
      <c r="A29" s="9" t="n"/>
      <c r="D29" s="11" t="n"/>
    </row>
    <row r="30">
      <c r="A30" s="9" t="n"/>
      <c r="D30" s="11" t="n"/>
    </row>
    <row r="31">
      <c r="A31" s="9" t="n"/>
      <c r="D31" s="11" t="n"/>
    </row>
    <row r="32">
      <c r="A32" s="9" t="n"/>
      <c r="D32" s="11" t="n"/>
    </row>
    <row r="33">
      <c r="A33" s="9" t="n"/>
      <c r="D33" s="11" t="n"/>
    </row>
    <row r="34">
      <c r="A34" s="9" t="n"/>
      <c r="D34" s="11" t="n"/>
    </row>
    <row r="35">
      <c r="A35" s="9" t="n"/>
      <c r="D35" s="11" t="n"/>
    </row>
    <row r="36">
      <c r="A36" s="9" t="n"/>
      <c r="D36" s="11" t="n"/>
    </row>
    <row r="37">
      <c r="A37" s="9" t="n"/>
      <c r="D37" s="11" t="n"/>
    </row>
    <row r="38">
      <c r="A38" s="9" t="n"/>
      <c r="D38" s="11" t="n"/>
    </row>
    <row r="39">
      <c r="A39" s="9" t="n"/>
      <c r="D39" s="11" t="n"/>
    </row>
    <row r="40">
      <c r="A40" s="9" t="n"/>
      <c r="D40" s="11" t="n"/>
    </row>
    <row r="41">
      <c r="A41" s="9" t="n"/>
      <c r="D41" s="11" t="n"/>
    </row>
    <row r="42">
      <c r="A42" s="9" t="n"/>
      <c r="D42" s="11" t="n"/>
    </row>
    <row r="43">
      <c r="A43" s="9" t="n"/>
      <c r="D43" s="11" t="n"/>
    </row>
    <row r="44">
      <c r="A44" s="9" t="n"/>
      <c r="D44" s="11" t="n"/>
    </row>
    <row r="45">
      <c r="A45" s="9" t="n"/>
      <c r="D45" s="11" t="n"/>
    </row>
    <row r="46">
      <c r="A46" s="9" t="n"/>
      <c r="D46" s="11" t="n"/>
    </row>
    <row r="47">
      <c r="A47" s="9" t="n"/>
      <c r="D47" s="11" t="n"/>
    </row>
    <row r="48">
      <c r="A48" s="9" t="n"/>
      <c r="D48" s="11" t="n"/>
    </row>
    <row r="49">
      <c r="A49" s="9" t="n"/>
      <c r="D49" s="11" t="n"/>
    </row>
    <row r="50">
      <c r="A50" s="9" t="n"/>
      <c r="D50" s="11" t="n"/>
    </row>
    <row r="51">
      <c r="A51" s="9" t="n"/>
      <c r="D51" s="11" t="n"/>
    </row>
    <row r="52">
      <c r="A52" s="9" t="n"/>
      <c r="D52" s="11" t="n"/>
    </row>
    <row r="53">
      <c r="A53" s="9" t="n"/>
      <c r="D53" s="11" t="n"/>
    </row>
    <row r="54">
      <c r="A54" s="9" t="n"/>
      <c r="D54" s="11" t="n"/>
    </row>
    <row r="55">
      <c r="A55" s="9" t="n"/>
      <c r="D55" s="11" t="n"/>
    </row>
    <row r="56">
      <c r="A56" s="9" t="n"/>
      <c r="D56" s="11" t="n"/>
    </row>
    <row r="57">
      <c r="A57" s="9" t="n"/>
      <c r="D57" s="11" t="n"/>
    </row>
    <row r="58">
      <c r="A58" s="9" t="n"/>
      <c r="D58" s="11" t="n"/>
    </row>
    <row r="59">
      <c r="A59" s="9" t="n"/>
      <c r="D59" s="11" t="n"/>
    </row>
    <row r="60">
      <c r="A60" s="9" t="n"/>
      <c r="D60" s="11" t="n"/>
    </row>
    <row r="61">
      <c r="A61" s="9" t="n"/>
      <c r="D61" s="11" t="n"/>
    </row>
    <row r="62">
      <c r="A62" s="9" t="n"/>
      <c r="D62" s="11" t="n"/>
    </row>
    <row r="63">
      <c r="A63" s="9" t="n"/>
      <c r="D63" s="11" t="n"/>
    </row>
    <row r="64">
      <c r="A64" s="9" t="n"/>
      <c r="D64" s="11" t="n"/>
    </row>
    <row r="65">
      <c r="A65" s="9" t="n"/>
      <c r="D65" s="11" t="n"/>
    </row>
    <row r="66">
      <c r="A66" s="9" t="n"/>
      <c r="D66" s="11" t="n"/>
    </row>
    <row r="67">
      <c r="A67" s="9" t="n"/>
      <c r="D67" s="11" t="n"/>
    </row>
    <row r="68">
      <c r="A68" s="9" t="n"/>
      <c r="D68" s="11" t="n"/>
    </row>
    <row r="69">
      <c r="A69" s="9" t="n"/>
      <c r="D69" s="11" t="n"/>
    </row>
    <row r="70">
      <c r="A70" s="9" t="n"/>
      <c r="D70" s="11" t="n"/>
    </row>
    <row r="71">
      <c r="A71" s="9" t="n"/>
      <c r="D71" s="11" t="n"/>
    </row>
    <row r="72">
      <c r="A72" s="9" t="n"/>
      <c r="D72" s="11" t="n"/>
    </row>
    <row r="73">
      <c r="A73" s="9" t="n"/>
      <c r="D73" s="11" t="n"/>
    </row>
    <row r="74">
      <c r="A74" s="9" t="n"/>
      <c r="D74" s="11" t="n"/>
    </row>
    <row r="75">
      <c r="A75" s="9" t="n"/>
      <c r="D75" s="11" t="n"/>
    </row>
    <row r="76">
      <c r="A76" s="9" t="n"/>
      <c r="D76" s="11" t="n"/>
    </row>
    <row r="77">
      <c r="A77" s="9" t="n"/>
      <c r="D77" s="11" t="n"/>
    </row>
    <row r="78">
      <c r="A78" s="9" t="n"/>
      <c r="D78" s="11" t="n"/>
    </row>
    <row r="79">
      <c r="A79" s="9" t="n"/>
      <c r="D79" s="11" t="n"/>
    </row>
    <row r="80">
      <c r="A80" s="9" t="n"/>
      <c r="D80" s="11" t="n"/>
    </row>
    <row r="81">
      <c r="A81" s="9" t="n"/>
      <c r="D81" s="11" t="n"/>
    </row>
    <row r="82">
      <c r="A82" s="9" t="n"/>
      <c r="D82" s="11" t="n"/>
    </row>
    <row r="83">
      <c r="A83" s="9" t="n"/>
      <c r="D83" s="11" t="n"/>
    </row>
    <row r="84">
      <c r="A84" s="9" t="n"/>
      <c r="D84" s="11" t="n"/>
    </row>
    <row r="85">
      <c r="A85" s="9" t="n"/>
      <c r="D85" s="11" t="n"/>
    </row>
    <row r="86">
      <c r="A86" s="9" t="n"/>
      <c r="D86" s="11" t="n"/>
    </row>
    <row r="87">
      <c r="A87" s="9" t="n"/>
      <c r="D87" s="11" t="n"/>
    </row>
    <row r="88">
      <c r="A88" s="9" t="n"/>
      <c r="D88" s="11" t="n"/>
    </row>
    <row r="89">
      <c r="A89" s="9" t="n"/>
      <c r="D89" s="11" t="n"/>
    </row>
    <row r="90">
      <c r="A90" s="9" t="n"/>
      <c r="D90" s="11" t="n"/>
    </row>
    <row r="91">
      <c r="A91" s="9" t="n"/>
      <c r="D91" s="11" t="n"/>
    </row>
    <row r="92">
      <c r="A92" s="9" t="n"/>
      <c r="D92" s="11" t="n"/>
    </row>
    <row r="93">
      <c r="A93" s="9" t="n"/>
      <c r="D93" s="11" t="n"/>
    </row>
    <row r="94">
      <c r="A94" s="9" t="n"/>
      <c r="D94" s="11" t="n"/>
    </row>
    <row r="95">
      <c r="A95" s="9" t="n"/>
      <c r="D95" s="11" t="n"/>
    </row>
    <row r="96">
      <c r="A96" s="9" t="n"/>
      <c r="D96" s="11" t="n"/>
    </row>
    <row r="97">
      <c r="A97" s="9" t="n"/>
      <c r="D97" s="11" t="n"/>
    </row>
    <row r="98">
      <c r="A98" s="9" t="n"/>
      <c r="D98" s="11" t="n"/>
    </row>
    <row r="99">
      <c r="A99" s="9" t="n"/>
      <c r="D99" s="11" t="n"/>
    </row>
    <row r="100">
      <c r="A100" s="9" t="n"/>
      <c r="D100" s="11" t="n"/>
    </row>
    <row r="101">
      <c r="A101" s="9" t="n"/>
      <c r="D101" s="11" t="n"/>
    </row>
    <row r="102">
      <c r="A102" s="9" t="n"/>
      <c r="D102" s="11" t="n"/>
    </row>
    <row r="103">
      <c r="A103" s="9" t="n"/>
      <c r="D103" s="11" t="n"/>
    </row>
    <row r="104">
      <c r="A104" s="9" t="n"/>
      <c r="D104" s="11" t="n"/>
    </row>
    <row r="105">
      <c r="A105" s="9" t="n"/>
      <c r="D105" s="11" t="n"/>
    </row>
    <row r="106">
      <c r="A106" s="9" t="n"/>
      <c r="D106" s="11" t="n"/>
    </row>
    <row r="107">
      <c r="A107" s="9" t="n"/>
      <c r="D107" s="11" t="n"/>
    </row>
    <row r="108">
      <c r="A108" s="9" t="n"/>
      <c r="D108" s="11" t="n"/>
    </row>
    <row r="109">
      <c r="A109" s="9" t="n"/>
      <c r="D109" s="11" t="n"/>
    </row>
    <row r="110">
      <c r="A110" s="9" t="n"/>
      <c r="D110" s="11" t="n"/>
    </row>
    <row r="111">
      <c r="A111" s="9" t="n"/>
      <c r="D111" s="11" t="n"/>
    </row>
    <row r="112">
      <c r="A112" s="9" t="n"/>
      <c r="D112" s="11" t="n"/>
    </row>
    <row r="113">
      <c r="A113" s="9" t="n"/>
      <c r="D113" s="11" t="n"/>
    </row>
    <row r="114">
      <c r="A114" s="9" t="n"/>
      <c r="D114" s="11" t="n"/>
    </row>
    <row r="115">
      <c r="A115" s="9" t="n"/>
      <c r="D115" s="11" t="n"/>
    </row>
    <row r="116">
      <c r="A116" s="9" t="n"/>
      <c r="D116" s="11" t="n"/>
    </row>
    <row r="117">
      <c r="A117" s="9" t="n"/>
      <c r="D117" s="11" t="n"/>
    </row>
    <row r="118">
      <c r="A118" s="9" t="n"/>
      <c r="D118" s="11" t="n"/>
    </row>
    <row r="119">
      <c r="A119" s="9" t="n"/>
      <c r="D119" s="11" t="n"/>
    </row>
    <row r="120">
      <c r="A120" s="9" t="n"/>
      <c r="D120" s="11" t="n"/>
    </row>
    <row r="121">
      <c r="A121" s="9" t="n"/>
      <c r="D121" s="11" t="n"/>
    </row>
    <row r="122">
      <c r="A122" s="9" t="n"/>
      <c r="D122" s="11" t="n"/>
    </row>
    <row r="123">
      <c r="A123" s="9" t="n"/>
      <c r="D123" s="11" t="n"/>
    </row>
    <row r="124">
      <c r="A124" s="9" t="n"/>
      <c r="D124" s="11" t="n"/>
    </row>
    <row r="125">
      <c r="A125" s="9" t="n"/>
      <c r="D125" s="11" t="n"/>
    </row>
    <row r="126">
      <c r="A126" s="9" t="n"/>
      <c r="D126" s="11" t="n"/>
    </row>
    <row r="127">
      <c r="A127" s="9" t="n"/>
      <c r="D127" s="11" t="n"/>
    </row>
    <row r="128">
      <c r="A128" s="9" t="n"/>
      <c r="D128" s="11" t="n"/>
    </row>
    <row r="129">
      <c r="A129" s="9" t="n"/>
      <c r="D129" s="11" t="n"/>
    </row>
    <row r="130">
      <c r="A130" s="9" t="n"/>
      <c r="D130" s="11" t="n"/>
    </row>
    <row r="131">
      <c r="A131" s="9" t="n"/>
      <c r="D131" s="11" t="n"/>
    </row>
    <row r="132">
      <c r="A132" s="9" t="n"/>
      <c r="D132" s="11" t="n"/>
    </row>
    <row r="133">
      <c r="A133" s="9" t="n"/>
      <c r="D133" s="11" t="n"/>
    </row>
    <row r="134">
      <c r="A134" s="9" t="n"/>
      <c r="D134" s="11" t="n"/>
    </row>
    <row r="135">
      <c r="A135" s="9" t="n"/>
      <c r="D135" s="11" t="n"/>
    </row>
    <row r="136">
      <c r="A136" s="9" t="n"/>
      <c r="D136" s="11" t="n"/>
    </row>
    <row r="137">
      <c r="A137" s="9" t="n"/>
      <c r="D137" s="11" t="n"/>
    </row>
    <row r="138">
      <c r="A138" s="9" t="n"/>
      <c r="D138" s="11" t="n"/>
    </row>
    <row r="139">
      <c r="A139" s="9" t="n"/>
      <c r="D139" s="11" t="n"/>
    </row>
    <row r="140">
      <c r="A140" s="9" t="n"/>
      <c r="D140" s="11" t="n"/>
    </row>
    <row r="141">
      <c r="A141" s="9" t="n"/>
      <c r="D141" s="11" t="n"/>
    </row>
    <row r="142">
      <c r="A142" s="9" t="n"/>
      <c r="D142" s="11" t="n"/>
    </row>
    <row r="143">
      <c r="A143" s="9" t="n"/>
      <c r="D143" s="11" t="n"/>
    </row>
    <row r="144">
      <c r="A144" s="9" t="n"/>
      <c r="D144" s="11" t="n"/>
    </row>
    <row r="145">
      <c r="A145" s="9" t="n"/>
      <c r="D145" s="11" t="n"/>
    </row>
    <row r="146">
      <c r="A146" s="9" t="n"/>
      <c r="D146" s="11" t="n"/>
    </row>
    <row r="147">
      <c r="A147" s="9" t="n"/>
      <c r="D147" s="11" t="n"/>
    </row>
    <row r="148">
      <c r="A148" s="9" t="n"/>
      <c r="D148" s="11" t="n"/>
    </row>
    <row r="149">
      <c r="A149" s="9" t="n"/>
      <c r="D149" s="11" t="n"/>
    </row>
    <row r="150">
      <c r="A150" s="9" t="n"/>
      <c r="D150" s="11" t="n"/>
    </row>
    <row r="151">
      <c r="A151" s="9" t="n"/>
      <c r="D151" s="11" t="n"/>
    </row>
    <row r="152">
      <c r="A152" s="9" t="n"/>
      <c r="D152" s="11" t="n"/>
    </row>
    <row r="153">
      <c r="A153" s="9" t="n"/>
      <c r="D153" s="11" t="n"/>
    </row>
    <row r="154">
      <c r="A154" s="9" t="n"/>
      <c r="D154" s="11" t="n"/>
    </row>
    <row r="155">
      <c r="A155" s="9" t="n"/>
      <c r="D155" s="11" t="n"/>
    </row>
    <row r="156">
      <c r="A156" s="9" t="n"/>
      <c r="D156" s="11" t="n"/>
    </row>
    <row r="157">
      <c r="A157" s="9" t="n"/>
      <c r="D157" s="11" t="n"/>
    </row>
    <row r="158">
      <c r="A158" s="9" t="n"/>
      <c r="D158" s="11" t="n"/>
    </row>
    <row r="159">
      <c r="A159" s="9" t="n"/>
      <c r="D159" s="11" t="n"/>
    </row>
    <row r="160">
      <c r="A160" s="9" t="n"/>
      <c r="D160" s="11" t="n"/>
    </row>
    <row r="161">
      <c r="A161" s="9" t="n"/>
      <c r="D161" s="11" t="n"/>
    </row>
    <row r="162">
      <c r="A162" s="9" t="n"/>
      <c r="D162" s="11" t="n"/>
    </row>
    <row r="163">
      <c r="A163" s="9" t="n"/>
      <c r="D163" s="11" t="n"/>
    </row>
    <row r="164">
      <c r="A164" s="9" t="n"/>
      <c r="D164" s="11" t="n"/>
    </row>
    <row r="165">
      <c r="A165" s="9" t="n"/>
      <c r="D165" s="11" t="n"/>
    </row>
    <row r="166">
      <c r="A166" s="9" t="n"/>
      <c r="D166" s="11" t="n"/>
    </row>
    <row r="167">
      <c r="A167" s="9" t="n"/>
      <c r="D167" s="11" t="n"/>
    </row>
    <row r="168">
      <c r="A168" s="9" t="n"/>
      <c r="D168" s="11" t="n"/>
    </row>
    <row r="169">
      <c r="A169" s="9" t="n"/>
      <c r="D169" s="11" t="n"/>
    </row>
    <row r="170">
      <c r="A170" s="9" t="n"/>
      <c r="D170" s="11" t="n"/>
    </row>
    <row r="171">
      <c r="A171" s="9" t="n"/>
      <c r="D171" s="11" t="n"/>
    </row>
    <row r="172">
      <c r="A172" s="9" t="n"/>
      <c r="D172" s="11" t="n"/>
    </row>
    <row r="173">
      <c r="A173" s="9" t="n"/>
      <c r="D173" s="11" t="n"/>
    </row>
    <row r="174">
      <c r="A174" s="9" t="n"/>
      <c r="D174" s="11" t="n"/>
    </row>
    <row r="175">
      <c r="A175" s="9" t="n"/>
      <c r="D175" s="11" t="n"/>
    </row>
    <row r="176">
      <c r="A176" s="9" t="n"/>
      <c r="D176" s="11" t="n"/>
    </row>
    <row r="177">
      <c r="A177" s="9" t="n"/>
      <c r="D177" s="11" t="n"/>
    </row>
    <row r="178">
      <c r="A178" s="9" t="n"/>
      <c r="D178" s="11" t="n"/>
    </row>
    <row r="179">
      <c r="A179" s="9" t="n"/>
      <c r="D179" s="11" t="n"/>
    </row>
    <row r="180">
      <c r="A180" s="9" t="n"/>
      <c r="D180" s="11" t="n"/>
    </row>
    <row r="181">
      <c r="A181" s="9" t="n"/>
      <c r="D181" s="11" t="n"/>
    </row>
    <row r="182">
      <c r="A182" s="9" t="n"/>
      <c r="D182" s="11" t="n"/>
    </row>
    <row r="183">
      <c r="A183" s="9" t="n"/>
      <c r="D183" s="11" t="n"/>
    </row>
    <row r="184">
      <c r="A184" s="9" t="n"/>
      <c r="D184" s="11" t="n"/>
    </row>
    <row r="185">
      <c r="A185" s="9" t="n"/>
      <c r="D185" s="11" t="n"/>
    </row>
    <row r="186">
      <c r="A186" s="9" t="n"/>
      <c r="D186" s="11" t="n"/>
    </row>
    <row r="187">
      <c r="A187" s="9" t="n"/>
      <c r="D187" s="11" t="n"/>
    </row>
    <row r="188">
      <c r="A188" s="9" t="n"/>
      <c r="D188" s="11" t="n"/>
    </row>
    <row r="189">
      <c r="A189" s="9" t="n"/>
      <c r="D189" s="11" t="n"/>
    </row>
    <row r="190">
      <c r="A190" s="9" t="n"/>
      <c r="D190" s="11" t="n"/>
    </row>
    <row r="191">
      <c r="A191" s="9" t="n"/>
      <c r="D191" s="11" t="n"/>
    </row>
    <row r="192">
      <c r="A192" s="9" t="n"/>
      <c r="D192" s="11" t="n"/>
    </row>
    <row r="193">
      <c r="A193" s="9" t="n"/>
      <c r="D193" s="11" t="n"/>
    </row>
    <row r="194">
      <c r="A194" s="9" t="n"/>
      <c r="D194" s="11" t="n"/>
    </row>
    <row r="195">
      <c r="A195" s="9" t="n"/>
      <c r="D195" s="11" t="n"/>
    </row>
    <row r="196">
      <c r="A196" s="9" t="n"/>
      <c r="D196" s="11" t="n"/>
    </row>
    <row r="197">
      <c r="A197" s="9" t="n"/>
      <c r="D197" s="11" t="n"/>
    </row>
    <row r="198">
      <c r="A198" s="9" t="n"/>
      <c r="D198" s="11" t="n"/>
    </row>
    <row r="199">
      <c r="A199" s="9" t="n"/>
      <c r="D199" s="11" t="n"/>
    </row>
    <row r="200">
      <c r="A200" s="9" t="n"/>
      <c r="D200" s="11" t="n"/>
    </row>
    <row r="201">
      <c r="A201" s="9" t="n"/>
      <c r="D201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4" customWidth="1" min="4" max="4"/>
    <col width="10" customWidth="1" min="5" max="5"/>
    <col width="14" customWidth="1" min="6" max="6"/>
    <col width="14" customWidth="1" min="7" max="7"/>
  </cols>
  <sheetData>
    <row r="1">
      <c r="A1" s="10" t="inlineStr">
        <is>
          <t>Date</t>
        </is>
      </c>
      <c r="B1" s="10" t="inlineStr">
        <is>
          <t>From</t>
        </is>
      </c>
      <c r="C1" s="10" t="inlineStr">
        <is>
          <t>To</t>
        </is>
      </c>
      <c r="D1" s="10" t="inlineStr">
        <is>
          <t>Business purpose</t>
        </is>
      </c>
      <c r="E1" s="10" t="inlineStr">
        <is>
          <t>Miles</t>
        </is>
      </c>
      <c r="F1" s="10" t="inlineStr">
        <is>
          <t>Miles so far this year</t>
        </is>
      </c>
      <c r="G1" s="10" t="inlineStr">
        <is>
          <t>Allowance £</t>
        </is>
      </c>
      <c r="I1" t="inlineStr">
        <is>
          <t>Cars and vans: 45p/mile first 10,000 business miles, then 25p. Motorcycles: 24p (not calculated here).</t>
        </is>
      </c>
    </row>
    <row r="2">
      <c r="A2" s="9" t="n"/>
      <c r="F2">
        <f>IF(E2="",0,0+E2)</f>
        <v/>
      </c>
      <c r="G2" s="11">
        <f>IF(E2="","",MIN(E2,MAX(0,10000-0))*0.45+MAX(0,E2-MAX(0,10000-0))*0.25)</f>
        <v/>
      </c>
      <c r="I2" t="inlineStr">
        <is>
          <t>You cannot claim mileage and actual running costs for the same vehicle. Source: gov.uk/simpler-income-tax-simplified-expenses</t>
        </is>
      </c>
    </row>
    <row r="3">
      <c r="A3" s="9" t="n"/>
      <c r="F3">
        <f>IF(E3="",F2,F2+E3)</f>
        <v/>
      </c>
      <c r="G3" s="11">
        <f>IF(E3="","",MIN(E3,MAX(0,10000-F2))*0.45+MAX(0,E3-MAX(0,10000-F2))*0.25)</f>
        <v/>
      </c>
    </row>
    <row r="4">
      <c r="A4" s="9" t="n"/>
      <c r="F4">
        <f>IF(E4="",F3,F3+E4)</f>
        <v/>
      </c>
      <c r="G4" s="11">
        <f>IF(E4="","",MIN(E4,MAX(0,10000-F3))*0.45+MAX(0,E4-MAX(0,10000-F3))*0.25)</f>
        <v/>
      </c>
    </row>
    <row r="5">
      <c r="A5" s="9" t="n"/>
      <c r="F5">
        <f>IF(E5="",F4,F4+E5)</f>
        <v/>
      </c>
      <c r="G5" s="11">
        <f>IF(E5="","",MIN(E5,MAX(0,10000-F4))*0.45+MAX(0,E5-MAX(0,10000-F4))*0.25)</f>
        <v/>
      </c>
    </row>
    <row r="6">
      <c r="A6" s="9" t="n"/>
      <c r="F6">
        <f>IF(E6="",F5,F5+E6)</f>
        <v/>
      </c>
      <c r="G6" s="11">
        <f>IF(E6="","",MIN(E6,MAX(0,10000-F5))*0.45+MAX(0,E6-MAX(0,10000-F5))*0.25)</f>
        <v/>
      </c>
    </row>
    <row r="7">
      <c r="A7" s="9" t="n"/>
      <c r="F7">
        <f>IF(E7="",F6,F6+E7)</f>
        <v/>
      </c>
      <c r="G7" s="11">
        <f>IF(E7="","",MIN(E7,MAX(0,10000-F6))*0.45+MAX(0,E7-MAX(0,10000-F6))*0.25)</f>
        <v/>
      </c>
    </row>
    <row r="8">
      <c r="A8" s="9" t="n"/>
      <c r="F8">
        <f>IF(E8="",F7,F7+E8)</f>
        <v/>
      </c>
      <c r="G8" s="11">
        <f>IF(E8="","",MIN(E8,MAX(0,10000-F7))*0.45+MAX(0,E8-MAX(0,10000-F7))*0.25)</f>
        <v/>
      </c>
    </row>
    <row r="9">
      <c r="A9" s="9" t="n"/>
      <c r="F9">
        <f>IF(E9="",F8,F8+E9)</f>
        <v/>
      </c>
      <c r="G9" s="11">
        <f>IF(E9="","",MIN(E9,MAX(0,10000-F8))*0.45+MAX(0,E9-MAX(0,10000-F8))*0.25)</f>
        <v/>
      </c>
    </row>
    <row r="10">
      <c r="A10" s="9" t="n"/>
      <c r="F10">
        <f>IF(E10="",F9,F9+E10)</f>
        <v/>
      </c>
      <c r="G10" s="11">
        <f>IF(E10="","",MIN(E10,MAX(0,10000-F9))*0.45+MAX(0,E10-MAX(0,10000-F9))*0.25)</f>
        <v/>
      </c>
    </row>
    <row r="11">
      <c r="A11" s="9" t="n"/>
      <c r="F11">
        <f>IF(E11="",F10,F10+E11)</f>
        <v/>
      </c>
      <c r="G11" s="11">
        <f>IF(E11="","",MIN(E11,MAX(0,10000-F10))*0.45+MAX(0,E11-MAX(0,10000-F10))*0.25)</f>
        <v/>
      </c>
    </row>
    <row r="12">
      <c r="A12" s="9" t="n"/>
      <c r="F12">
        <f>IF(E12="",F11,F11+E12)</f>
        <v/>
      </c>
      <c r="G12" s="11">
        <f>IF(E12="","",MIN(E12,MAX(0,10000-F11))*0.45+MAX(0,E12-MAX(0,10000-F11))*0.25)</f>
        <v/>
      </c>
    </row>
    <row r="13">
      <c r="A13" s="9" t="n"/>
      <c r="F13">
        <f>IF(E13="",F12,F12+E13)</f>
        <v/>
      </c>
      <c r="G13" s="11">
        <f>IF(E13="","",MIN(E13,MAX(0,10000-F12))*0.45+MAX(0,E13-MAX(0,10000-F12))*0.25)</f>
        <v/>
      </c>
    </row>
    <row r="14">
      <c r="A14" s="9" t="n"/>
      <c r="F14">
        <f>IF(E14="",F13,F13+E14)</f>
        <v/>
      </c>
      <c r="G14" s="11">
        <f>IF(E14="","",MIN(E14,MAX(0,10000-F13))*0.45+MAX(0,E14-MAX(0,10000-F13))*0.25)</f>
        <v/>
      </c>
    </row>
    <row r="15">
      <c r="A15" s="9" t="n"/>
      <c r="F15">
        <f>IF(E15="",F14,F14+E15)</f>
        <v/>
      </c>
      <c r="G15" s="11">
        <f>IF(E15="","",MIN(E15,MAX(0,10000-F14))*0.45+MAX(0,E15-MAX(0,10000-F14))*0.25)</f>
        <v/>
      </c>
    </row>
    <row r="16">
      <c r="A16" s="9" t="n"/>
      <c r="F16">
        <f>IF(E16="",F15,F15+E16)</f>
        <v/>
      </c>
      <c r="G16" s="11">
        <f>IF(E16="","",MIN(E16,MAX(0,10000-F15))*0.45+MAX(0,E16-MAX(0,10000-F15))*0.25)</f>
        <v/>
      </c>
    </row>
    <row r="17">
      <c r="A17" s="9" t="n"/>
      <c r="F17">
        <f>IF(E17="",F16,F16+E17)</f>
        <v/>
      </c>
      <c r="G17" s="11">
        <f>IF(E17="","",MIN(E17,MAX(0,10000-F16))*0.45+MAX(0,E17-MAX(0,10000-F16))*0.25)</f>
        <v/>
      </c>
    </row>
    <row r="18">
      <c r="A18" s="9" t="n"/>
      <c r="F18">
        <f>IF(E18="",F17,F17+E18)</f>
        <v/>
      </c>
      <c r="G18" s="11">
        <f>IF(E18="","",MIN(E18,MAX(0,10000-F17))*0.45+MAX(0,E18-MAX(0,10000-F17))*0.25)</f>
        <v/>
      </c>
    </row>
    <row r="19">
      <c r="A19" s="9" t="n"/>
      <c r="F19">
        <f>IF(E19="",F18,F18+E19)</f>
        <v/>
      </c>
      <c r="G19" s="11">
        <f>IF(E19="","",MIN(E19,MAX(0,10000-F18))*0.45+MAX(0,E19-MAX(0,10000-F18))*0.25)</f>
        <v/>
      </c>
    </row>
    <row r="20">
      <c r="A20" s="9" t="n"/>
      <c r="F20">
        <f>IF(E20="",F19,F19+E20)</f>
        <v/>
      </c>
      <c r="G20" s="11">
        <f>IF(E20="","",MIN(E20,MAX(0,10000-F19))*0.45+MAX(0,E20-MAX(0,10000-F19))*0.25)</f>
        <v/>
      </c>
    </row>
    <row r="21">
      <c r="A21" s="9" t="n"/>
      <c r="F21">
        <f>IF(E21="",F20,F20+E21)</f>
        <v/>
      </c>
      <c r="G21" s="11">
        <f>IF(E21="","",MIN(E21,MAX(0,10000-F20))*0.45+MAX(0,E21-MAX(0,10000-F20))*0.25)</f>
        <v/>
      </c>
    </row>
    <row r="22">
      <c r="A22" s="9" t="n"/>
      <c r="F22">
        <f>IF(E22="",F21,F21+E22)</f>
        <v/>
      </c>
      <c r="G22" s="11">
        <f>IF(E22="","",MIN(E22,MAX(0,10000-F21))*0.45+MAX(0,E22-MAX(0,10000-F21))*0.25)</f>
        <v/>
      </c>
    </row>
    <row r="23">
      <c r="A23" s="9" t="n"/>
      <c r="F23">
        <f>IF(E23="",F22,F22+E23)</f>
        <v/>
      </c>
      <c r="G23" s="11">
        <f>IF(E23="","",MIN(E23,MAX(0,10000-F22))*0.45+MAX(0,E23-MAX(0,10000-F22))*0.25)</f>
        <v/>
      </c>
    </row>
    <row r="24">
      <c r="A24" s="9" t="n"/>
      <c r="F24">
        <f>IF(E24="",F23,F23+E24)</f>
        <v/>
      </c>
      <c r="G24" s="11">
        <f>IF(E24="","",MIN(E24,MAX(0,10000-F23))*0.45+MAX(0,E24-MAX(0,10000-F23))*0.25)</f>
        <v/>
      </c>
    </row>
    <row r="25">
      <c r="A25" s="9" t="n"/>
      <c r="F25">
        <f>IF(E25="",F24,F24+E25)</f>
        <v/>
      </c>
      <c r="G25" s="11">
        <f>IF(E25="","",MIN(E25,MAX(0,10000-F24))*0.45+MAX(0,E25-MAX(0,10000-F24))*0.25)</f>
        <v/>
      </c>
    </row>
    <row r="26">
      <c r="A26" s="9" t="n"/>
      <c r="F26">
        <f>IF(E26="",F25,F25+E26)</f>
        <v/>
      </c>
      <c r="G26" s="11">
        <f>IF(E26="","",MIN(E26,MAX(0,10000-F25))*0.45+MAX(0,E26-MAX(0,10000-F25))*0.25)</f>
        <v/>
      </c>
    </row>
    <row r="27">
      <c r="A27" s="9" t="n"/>
      <c r="F27">
        <f>IF(E27="",F26,F26+E27)</f>
        <v/>
      </c>
      <c r="G27" s="11">
        <f>IF(E27="","",MIN(E27,MAX(0,10000-F26))*0.45+MAX(0,E27-MAX(0,10000-F26))*0.25)</f>
        <v/>
      </c>
    </row>
    <row r="28">
      <c r="A28" s="9" t="n"/>
      <c r="F28">
        <f>IF(E28="",F27,F27+E28)</f>
        <v/>
      </c>
      <c r="G28" s="11">
        <f>IF(E28="","",MIN(E28,MAX(0,10000-F27))*0.45+MAX(0,E28-MAX(0,10000-F27))*0.25)</f>
        <v/>
      </c>
    </row>
    <row r="29">
      <c r="A29" s="9" t="n"/>
      <c r="F29">
        <f>IF(E29="",F28,F28+E29)</f>
        <v/>
      </c>
      <c r="G29" s="11">
        <f>IF(E29="","",MIN(E29,MAX(0,10000-F28))*0.45+MAX(0,E29-MAX(0,10000-F28))*0.25)</f>
        <v/>
      </c>
    </row>
    <row r="30">
      <c r="A30" s="9" t="n"/>
      <c r="F30">
        <f>IF(E30="",F29,F29+E30)</f>
        <v/>
      </c>
      <c r="G30" s="11">
        <f>IF(E30="","",MIN(E30,MAX(0,10000-F29))*0.45+MAX(0,E30-MAX(0,10000-F29))*0.25)</f>
        <v/>
      </c>
    </row>
    <row r="31">
      <c r="A31" s="9" t="n"/>
      <c r="F31">
        <f>IF(E31="",F30,F30+E31)</f>
        <v/>
      </c>
      <c r="G31" s="11">
        <f>IF(E31="","",MIN(E31,MAX(0,10000-F30))*0.45+MAX(0,E31-MAX(0,10000-F30))*0.25)</f>
        <v/>
      </c>
    </row>
    <row r="32">
      <c r="A32" s="9" t="n"/>
      <c r="F32">
        <f>IF(E32="",F31,F31+E32)</f>
        <v/>
      </c>
      <c r="G32" s="11">
        <f>IF(E32="","",MIN(E32,MAX(0,10000-F31))*0.45+MAX(0,E32-MAX(0,10000-F31))*0.25)</f>
        <v/>
      </c>
    </row>
    <row r="33">
      <c r="A33" s="9" t="n"/>
      <c r="F33">
        <f>IF(E33="",F32,F32+E33)</f>
        <v/>
      </c>
      <c r="G33" s="11">
        <f>IF(E33="","",MIN(E33,MAX(0,10000-F32))*0.45+MAX(0,E33-MAX(0,10000-F32))*0.25)</f>
        <v/>
      </c>
    </row>
    <row r="34">
      <c r="A34" s="9" t="n"/>
      <c r="F34">
        <f>IF(E34="",F33,F33+E34)</f>
        <v/>
      </c>
      <c r="G34" s="11">
        <f>IF(E34="","",MIN(E34,MAX(0,10000-F33))*0.45+MAX(0,E34-MAX(0,10000-F33))*0.25)</f>
        <v/>
      </c>
    </row>
    <row r="35">
      <c r="A35" s="9" t="n"/>
      <c r="F35">
        <f>IF(E35="",F34,F34+E35)</f>
        <v/>
      </c>
      <c r="G35" s="11">
        <f>IF(E35="","",MIN(E35,MAX(0,10000-F34))*0.45+MAX(0,E35-MAX(0,10000-F34))*0.25)</f>
        <v/>
      </c>
    </row>
    <row r="36">
      <c r="A36" s="9" t="n"/>
      <c r="F36">
        <f>IF(E36="",F35,F35+E36)</f>
        <v/>
      </c>
      <c r="G36" s="11">
        <f>IF(E36="","",MIN(E36,MAX(0,10000-F35))*0.45+MAX(0,E36-MAX(0,10000-F35))*0.25)</f>
        <v/>
      </c>
    </row>
    <row r="37">
      <c r="A37" s="9" t="n"/>
      <c r="F37">
        <f>IF(E37="",F36,F36+E37)</f>
        <v/>
      </c>
      <c r="G37" s="11">
        <f>IF(E37="","",MIN(E37,MAX(0,10000-F36))*0.45+MAX(0,E37-MAX(0,10000-F36))*0.25)</f>
        <v/>
      </c>
    </row>
    <row r="38">
      <c r="A38" s="9" t="n"/>
      <c r="F38">
        <f>IF(E38="",F37,F37+E38)</f>
        <v/>
      </c>
      <c r="G38" s="11">
        <f>IF(E38="","",MIN(E38,MAX(0,10000-F37))*0.45+MAX(0,E38-MAX(0,10000-F37))*0.25)</f>
        <v/>
      </c>
    </row>
    <row r="39">
      <c r="A39" s="9" t="n"/>
      <c r="F39">
        <f>IF(E39="",F38,F38+E39)</f>
        <v/>
      </c>
      <c r="G39" s="11">
        <f>IF(E39="","",MIN(E39,MAX(0,10000-F38))*0.45+MAX(0,E39-MAX(0,10000-F38))*0.25)</f>
        <v/>
      </c>
    </row>
    <row r="40">
      <c r="A40" s="9" t="n"/>
      <c r="F40">
        <f>IF(E40="",F39,F39+E40)</f>
        <v/>
      </c>
      <c r="G40" s="11">
        <f>IF(E40="","",MIN(E40,MAX(0,10000-F39))*0.45+MAX(0,E40-MAX(0,10000-F39))*0.25)</f>
        <v/>
      </c>
    </row>
    <row r="41">
      <c r="A41" s="9" t="n"/>
      <c r="F41">
        <f>IF(E41="",F40,F40+E41)</f>
        <v/>
      </c>
      <c r="G41" s="11">
        <f>IF(E41="","",MIN(E41,MAX(0,10000-F40))*0.45+MAX(0,E41-MAX(0,10000-F40))*0.25)</f>
        <v/>
      </c>
    </row>
    <row r="42">
      <c r="A42" s="9" t="n"/>
      <c r="F42">
        <f>IF(E42="",F41,F41+E42)</f>
        <v/>
      </c>
      <c r="G42" s="11">
        <f>IF(E42="","",MIN(E42,MAX(0,10000-F41))*0.45+MAX(0,E42-MAX(0,10000-F41))*0.25)</f>
        <v/>
      </c>
    </row>
    <row r="43">
      <c r="A43" s="9" t="n"/>
      <c r="F43">
        <f>IF(E43="",F42,F42+E43)</f>
        <v/>
      </c>
      <c r="G43" s="11">
        <f>IF(E43="","",MIN(E43,MAX(0,10000-F42))*0.45+MAX(0,E43-MAX(0,10000-F42))*0.25)</f>
        <v/>
      </c>
    </row>
    <row r="44">
      <c r="A44" s="9" t="n"/>
      <c r="F44">
        <f>IF(E44="",F43,F43+E44)</f>
        <v/>
      </c>
      <c r="G44" s="11">
        <f>IF(E44="","",MIN(E44,MAX(0,10000-F43))*0.45+MAX(0,E44-MAX(0,10000-F43))*0.25)</f>
        <v/>
      </c>
    </row>
    <row r="45">
      <c r="A45" s="9" t="n"/>
      <c r="F45">
        <f>IF(E45="",F44,F44+E45)</f>
        <v/>
      </c>
      <c r="G45" s="11">
        <f>IF(E45="","",MIN(E45,MAX(0,10000-F44))*0.45+MAX(0,E45-MAX(0,10000-F44))*0.25)</f>
        <v/>
      </c>
    </row>
    <row r="46">
      <c r="A46" s="9" t="n"/>
      <c r="F46">
        <f>IF(E46="",F45,F45+E46)</f>
        <v/>
      </c>
      <c r="G46" s="11">
        <f>IF(E46="","",MIN(E46,MAX(0,10000-F45))*0.45+MAX(0,E46-MAX(0,10000-F45))*0.25)</f>
        <v/>
      </c>
    </row>
    <row r="47">
      <c r="A47" s="9" t="n"/>
      <c r="F47">
        <f>IF(E47="",F46,F46+E47)</f>
        <v/>
      </c>
      <c r="G47" s="11">
        <f>IF(E47="","",MIN(E47,MAX(0,10000-F46))*0.45+MAX(0,E47-MAX(0,10000-F46))*0.25)</f>
        <v/>
      </c>
    </row>
    <row r="48">
      <c r="A48" s="9" t="n"/>
      <c r="F48">
        <f>IF(E48="",F47,F47+E48)</f>
        <v/>
      </c>
      <c r="G48" s="11">
        <f>IF(E48="","",MIN(E48,MAX(0,10000-F47))*0.45+MAX(0,E48-MAX(0,10000-F47))*0.25)</f>
        <v/>
      </c>
    </row>
    <row r="49">
      <c r="A49" s="9" t="n"/>
      <c r="F49">
        <f>IF(E49="",F48,F48+E49)</f>
        <v/>
      </c>
      <c r="G49" s="11">
        <f>IF(E49="","",MIN(E49,MAX(0,10000-F48))*0.45+MAX(0,E49-MAX(0,10000-F48))*0.25)</f>
        <v/>
      </c>
    </row>
    <row r="50">
      <c r="A50" s="9" t="n"/>
      <c r="F50">
        <f>IF(E50="",F49,F49+E50)</f>
        <v/>
      </c>
      <c r="G50" s="11">
        <f>IF(E50="","",MIN(E50,MAX(0,10000-F49))*0.45+MAX(0,E50-MAX(0,10000-F49))*0.25)</f>
        <v/>
      </c>
    </row>
    <row r="51">
      <c r="A51" s="9" t="n"/>
      <c r="F51">
        <f>IF(E51="",F50,F50+E51)</f>
        <v/>
      </c>
      <c r="G51" s="11">
        <f>IF(E51="","",MIN(E51,MAX(0,10000-F50))*0.45+MAX(0,E51-MAX(0,10000-F50))*0.25)</f>
        <v/>
      </c>
    </row>
    <row r="52">
      <c r="A52" s="9" t="n"/>
      <c r="F52">
        <f>IF(E52="",F51,F51+E52)</f>
        <v/>
      </c>
      <c r="G52" s="11">
        <f>IF(E52="","",MIN(E52,MAX(0,10000-F51))*0.45+MAX(0,E52-MAX(0,10000-F51))*0.25)</f>
        <v/>
      </c>
    </row>
    <row r="53">
      <c r="A53" s="9" t="n"/>
      <c r="F53">
        <f>IF(E53="",F52,F52+E53)</f>
        <v/>
      </c>
      <c r="G53" s="11">
        <f>IF(E53="","",MIN(E53,MAX(0,10000-F52))*0.45+MAX(0,E53-MAX(0,10000-F52))*0.25)</f>
        <v/>
      </c>
    </row>
    <row r="54">
      <c r="A54" s="9" t="n"/>
      <c r="F54">
        <f>IF(E54="",F53,F53+E54)</f>
        <v/>
      </c>
      <c r="G54" s="11">
        <f>IF(E54="","",MIN(E54,MAX(0,10000-F53))*0.45+MAX(0,E54-MAX(0,10000-F53))*0.25)</f>
        <v/>
      </c>
    </row>
    <row r="55">
      <c r="A55" s="9" t="n"/>
      <c r="F55">
        <f>IF(E55="",F54,F54+E55)</f>
        <v/>
      </c>
      <c r="G55" s="11">
        <f>IF(E55="","",MIN(E55,MAX(0,10000-F54))*0.45+MAX(0,E55-MAX(0,10000-F54))*0.25)</f>
        <v/>
      </c>
    </row>
    <row r="56">
      <c r="A56" s="9" t="n"/>
      <c r="F56">
        <f>IF(E56="",F55,F55+E56)</f>
        <v/>
      </c>
      <c r="G56" s="11">
        <f>IF(E56="","",MIN(E56,MAX(0,10000-F55))*0.45+MAX(0,E56-MAX(0,10000-F55))*0.25)</f>
        <v/>
      </c>
    </row>
    <row r="57">
      <c r="A57" s="9" t="n"/>
      <c r="F57">
        <f>IF(E57="",F56,F56+E57)</f>
        <v/>
      </c>
      <c r="G57" s="11">
        <f>IF(E57="","",MIN(E57,MAX(0,10000-F56))*0.45+MAX(0,E57-MAX(0,10000-F56))*0.25)</f>
        <v/>
      </c>
    </row>
    <row r="58">
      <c r="A58" s="9" t="n"/>
      <c r="F58">
        <f>IF(E58="",F57,F57+E58)</f>
        <v/>
      </c>
      <c r="G58" s="11">
        <f>IF(E58="","",MIN(E58,MAX(0,10000-F57))*0.45+MAX(0,E58-MAX(0,10000-F57))*0.25)</f>
        <v/>
      </c>
    </row>
    <row r="59">
      <c r="A59" s="9" t="n"/>
      <c r="F59">
        <f>IF(E59="",F58,F58+E59)</f>
        <v/>
      </c>
      <c r="G59" s="11">
        <f>IF(E59="","",MIN(E59,MAX(0,10000-F58))*0.45+MAX(0,E59-MAX(0,10000-F58))*0.25)</f>
        <v/>
      </c>
    </row>
    <row r="60">
      <c r="A60" s="9" t="n"/>
      <c r="F60">
        <f>IF(E60="",F59,F59+E60)</f>
        <v/>
      </c>
      <c r="G60" s="11">
        <f>IF(E60="","",MIN(E60,MAX(0,10000-F59))*0.45+MAX(0,E60-MAX(0,10000-F59))*0.25)</f>
        <v/>
      </c>
    </row>
    <row r="61">
      <c r="A61" s="9" t="n"/>
      <c r="F61">
        <f>IF(E61="",F60,F60+E61)</f>
        <v/>
      </c>
      <c r="G61" s="11">
        <f>IF(E61="","",MIN(E61,MAX(0,10000-F60))*0.45+MAX(0,E61-MAX(0,10000-F60))*0.25)</f>
        <v/>
      </c>
    </row>
    <row r="62">
      <c r="A62" s="9" t="n"/>
      <c r="F62">
        <f>IF(E62="",F61,F61+E62)</f>
        <v/>
      </c>
      <c r="G62" s="11">
        <f>IF(E62="","",MIN(E62,MAX(0,10000-F61))*0.45+MAX(0,E62-MAX(0,10000-F61))*0.25)</f>
        <v/>
      </c>
    </row>
    <row r="63">
      <c r="A63" s="9" t="n"/>
      <c r="F63">
        <f>IF(E63="",F62,F62+E63)</f>
        <v/>
      </c>
      <c r="G63" s="11">
        <f>IF(E63="","",MIN(E63,MAX(0,10000-F62))*0.45+MAX(0,E63-MAX(0,10000-F62))*0.25)</f>
        <v/>
      </c>
    </row>
    <row r="64">
      <c r="A64" s="9" t="n"/>
      <c r="F64">
        <f>IF(E64="",F63,F63+E64)</f>
        <v/>
      </c>
      <c r="G64" s="11">
        <f>IF(E64="","",MIN(E64,MAX(0,10000-F63))*0.45+MAX(0,E64-MAX(0,10000-F63))*0.25)</f>
        <v/>
      </c>
    </row>
    <row r="65">
      <c r="A65" s="9" t="n"/>
      <c r="F65">
        <f>IF(E65="",F64,F64+E65)</f>
        <v/>
      </c>
      <c r="G65" s="11">
        <f>IF(E65="","",MIN(E65,MAX(0,10000-F64))*0.45+MAX(0,E65-MAX(0,10000-F64))*0.25)</f>
        <v/>
      </c>
    </row>
    <row r="66">
      <c r="A66" s="9" t="n"/>
      <c r="F66">
        <f>IF(E66="",F65,F65+E66)</f>
        <v/>
      </c>
      <c r="G66" s="11">
        <f>IF(E66="","",MIN(E66,MAX(0,10000-F65))*0.45+MAX(0,E66-MAX(0,10000-F65))*0.25)</f>
        <v/>
      </c>
    </row>
    <row r="67">
      <c r="A67" s="9" t="n"/>
      <c r="F67">
        <f>IF(E67="",F66,F66+E67)</f>
        <v/>
      </c>
      <c r="G67" s="11">
        <f>IF(E67="","",MIN(E67,MAX(0,10000-F66))*0.45+MAX(0,E67-MAX(0,10000-F66))*0.25)</f>
        <v/>
      </c>
    </row>
    <row r="68">
      <c r="A68" s="9" t="n"/>
      <c r="F68">
        <f>IF(E68="",F67,F67+E68)</f>
        <v/>
      </c>
      <c r="G68" s="11">
        <f>IF(E68="","",MIN(E68,MAX(0,10000-F67))*0.45+MAX(0,E68-MAX(0,10000-F67))*0.25)</f>
        <v/>
      </c>
    </row>
    <row r="69">
      <c r="A69" s="9" t="n"/>
      <c r="F69">
        <f>IF(E69="",F68,F68+E69)</f>
        <v/>
      </c>
      <c r="G69" s="11">
        <f>IF(E69="","",MIN(E69,MAX(0,10000-F68))*0.45+MAX(0,E69-MAX(0,10000-F68))*0.25)</f>
        <v/>
      </c>
    </row>
    <row r="70">
      <c r="A70" s="9" t="n"/>
      <c r="F70">
        <f>IF(E70="",F69,F69+E70)</f>
        <v/>
      </c>
      <c r="G70" s="11">
        <f>IF(E70="","",MIN(E70,MAX(0,10000-F69))*0.45+MAX(0,E70-MAX(0,10000-F69))*0.25)</f>
        <v/>
      </c>
    </row>
    <row r="71">
      <c r="A71" s="9" t="n"/>
      <c r="F71">
        <f>IF(E71="",F70,F70+E71)</f>
        <v/>
      </c>
      <c r="G71" s="11">
        <f>IF(E71="","",MIN(E71,MAX(0,10000-F70))*0.45+MAX(0,E71-MAX(0,10000-F70))*0.25)</f>
        <v/>
      </c>
    </row>
    <row r="72">
      <c r="A72" s="9" t="n"/>
      <c r="F72">
        <f>IF(E72="",F71,F71+E72)</f>
        <v/>
      </c>
      <c r="G72" s="11">
        <f>IF(E72="","",MIN(E72,MAX(0,10000-F71))*0.45+MAX(0,E72-MAX(0,10000-F71))*0.25)</f>
        <v/>
      </c>
    </row>
    <row r="73">
      <c r="A73" s="9" t="n"/>
      <c r="F73">
        <f>IF(E73="",F72,F72+E73)</f>
        <v/>
      </c>
      <c r="G73" s="11">
        <f>IF(E73="","",MIN(E73,MAX(0,10000-F72))*0.45+MAX(0,E73-MAX(0,10000-F72))*0.25)</f>
        <v/>
      </c>
    </row>
    <row r="74">
      <c r="A74" s="9" t="n"/>
      <c r="F74">
        <f>IF(E74="",F73,F73+E74)</f>
        <v/>
      </c>
      <c r="G74" s="11">
        <f>IF(E74="","",MIN(E74,MAX(0,10000-F73))*0.45+MAX(0,E74-MAX(0,10000-F73))*0.25)</f>
        <v/>
      </c>
    </row>
    <row r="75">
      <c r="A75" s="9" t="n"/>
      <c r="F75">
        <f>IF(E75="",F74,F74+E75)</f>
        <v/>
      </c>
      <c r="G75" s="11">
        <f>IF(E75="","",MIN(E75,MAX(0,10000-F74))*0.45+MAX(0,E75-MAX(0,10000-F74))*0.25)</f>
        <v/>
      </c>
    </row>
    <row r="76">
      <c r="A76" s="9" t="n"/>
      <c r="F76">
        <f>IF(E76="",F75,F75+E76)</f>
        <v/>
      </c>
      <c r="G76" s="11">
        <f>IF(E76="","",MIN(E76,MAX(0,10000-F75))*0.45+MAX(0,E76-MAX(0,10000-F75))*0.25)</f>
        <v/>
      </c>
    </row>
    <row r="77">
      <c r="A77" s="9" t="n"/>
      <c r="F77">
        <f>IF(E77="",F76,F76+E77)</f>
        <v/>
      </c>
      <c r="G77" s="11">
        <f>IF(E77="","",MIN(E77,MAX(0,10000-F76))*0.45+MAX(0,E77-MAX(0,10000-F76))*0.25)</f>
        <v/>
      </c>
    </row>
    <row r="78">
      <c r="A78" s="9" t="n"/>
      <c r="F78">
        <f>IF(E78="",F77,F77+E78)</f>
        <v/>
      </c>
      <c r="G78" s="11">
        <f>IF(E78="","",MIN(E78,MAX(0,10000-F77))*0.45+MAX(0,E78-MAX(0,10000-F77))*0.25)</f>
        <v/>
      </c>
    </row>
    <row r="79">
      <c r="A79" s="9" t="n"/>
      <c r="F79">
        <f>IF(E79="",F78,F78+E79)</f>
        <v/>
      </c>
      <c r="G79" s="11">
        <f>IF(E79="","",MIN(E79,MAX(0,10000-F78))*0.45+MAX(0,E79-MAX(0,10000-F78))*0.25)</f>
        <v/>
      </c>
    </row>
    <row r="80">
      <c r="A80" s="9" t="n"/>
      <c r="F80">
        <f>IF(E80="",F79,F79+E80)</f>
        <v/>
      </c>
      <c r="G80" s="11">
        <f>IF(E80="","",MIN(E80,MAX(0,10000-F79))*0.45+MAX(0,E80-MAX(0,10000-F79))*0.25)</f>
        <v/>
      </c>
    </row>
    <row r="81">
      <c r="A81" s="9" t="n"/>
      <c r="F81">
        <f>IF(E81="",F80,F80+E81)</f>
        <v/>
      </c>
      <c r="G81" s="11">
        <f>IF(E81="","",MIN(E81,MAX(0,10000-F80))*0.45+MAX(0,E81-MAX(0,10000-F80))*0.25)</f>
        <v/>
      </c>
    </row>
    <row r="82">
      <c r="A82" s="9" t="n"/>
      <c r="F82">
        <f>IF(E82="",F81,F81+E82)</f>
        <v/>
      </c>
      <c r="G82" s="11">
        <f>IF(E82="","",MIN(E82,MAX(0,10000-F81))*0.45+MAX(0,E82-MAX(0,10000-F81))*0.25)</f>
        <v/>
      </c>
    </row>
    <row r="83">
      <c r="A83" s="9" t="n"/>
      <c r="F83">
        <f>IF(E83="",F82,F82+E83)</f>
        <v/>
      </c>
      <c r="G83" s="11">
        <f>IF(E83="","",MIN(E83,MAX(0,10000-F82))*0.45+MAX(0,E83-MAX(0,10000-F82))*0.25)</f>
        <v/>
      </c>
    </row>
    <row r="84">
      <c r="A84" s="9" t="n"/>
      <c r="F84">
        <f>IF(E84="",F83,F83+E84)</f>
        <v/>
      </c>
      <c r="G84" s="11">
        <f>IF(E84="","",MIN(E84,MAX(0,10000-F83))*0.45+MAX(0,E84-MAX(0,10000-F83))*0.25)</f>
        <v/>
      </c>
    </row>
    <row r="85">
      <c r="A85" s="9" t="n"/>
      <c r="F85">
        <f>IF(E85="",F84,F84+E85)</f>
        <v/>
      </c>
      <c r="G85" s="11">
        <f>IF(E85="","",MIN(E85,MAX(0,10000-F84))*0.45+MAX(0,E85-MAX(0,10000-F84))*0.25)</f>
        <v/>
      </c>
    </row>
    <row r="86">
      <c r="A86" s="9" t="n"/>
      <c r="F86">
        <f>IF(E86="",F85,F85+E86)</f>
        <v/>
      </c>
      <c r="G86" s="11">
        <f>IF(E86="","",MIN(E86,MAX(0,10000-F85))*0.45+MAX(0,E86-MAX(0,10000-F85))*0.25)</f>
        <v/>
      </c>
    </row>
    <row r="87">
      <c r="A87" s="9" t="n"/>
      <c r="F87">
        <f>IF(E87="",F86,F86+E87)</f>
        <v/>
      </c>
      <c r="G87" s="11">
        <f>IF(E87="","",MIN(E87,MAX(0,10000-F86))*0.45+MAX(0,E87-MAX(0,10000-F86))*0.25)</f>
        <v/>
      </c>
    </row>
    <row r="88">
      <c r="A88" s="9" t="n"/>
      <c r="F88">
        <f>IF(E88="",F87,F87+E88)</f>
        <v/>
      </c>
      <c r="G88" s="11">
        <f>IF(E88="","",MIN(E88,MAX(0,10000-F87))*0.45+MAX(0,E88-MAX(0,10000-F87))*0.25)</f>
        <v/>
      </c>
    </row>
    <row r="89">
      <c r="A89" s="9" t="n"/>
      <c r="F89">
        <f>IF(E89="",F88,F88+E89)</f>
        <v/>
      </c>
      <c r="G89" s="11">
        <f>IF(E89="","",MIN(E89,MAX(0,10000-F88))*0.45+MAX(0,E89-MAX(0,10000-F88))*0.25)</f>
        <v/>
      </c>
    </row>
    <row r="90">
      <c r="A90" s="9" t="n"/>
      <c r="F90">
        <f>IF(E90="",F89,F89+E90)</f>
        <v/>
      </c>
      <c r="G90" s="11">
        <f>IF(E90="","",MIN(E90,MAX(0,10000-F89))*0.45+MAX(0,E90-MAX(0,10000-F89))*0.25)</f>
        <v/>
      </c>
    </row>
    <row r="91">
      <c r="A91" s="9" t="n"/>
      <c r="F91">
        <f>IF(E91="",F90,F90+E91)</f>
        <v/>
      </c>
      <c r="G91" s="11">
        <f>IF(E91="","",MIN(E91,MAX(0,10000-F90))*0.45+MAX(0,E91-MAX(0,10000-F90))*0.25)</f>
        <v/>
      </c>
    </row>
    <row r="92">
      <c r="A92" s="9" t="n"/>
      <c r="F92">
        <f>IF(E92="",F91,F91+E92)</f>
        <v/>
      </c>
      <c r="G92" s="11">
        <f>IF(E92="","",MIN(E92,MAX(0,10000-F91))*0.45+MAX(0,E92-MAX(0,10000-F91))*0.25)</f>
        <v/>
      </c>
    </row>
    <row r="93">
      <c r="A93" s="9" t="n"/>
      <c r="F93">
        <f>IF(E93="",F92,F92+E93)</f>
        <v/>
      </c>
      <c r="G93" s="11">
        <f>IF(E93="","",MIN(E93,MAX(0,10000-F92))*0.45+MAX(0,E93-MAX(0,10000-F92))*0.25)</f>
        <v/>
      </c>
    </row>
    <row r="94">
      <c r="A94" s="9" t="n"/>
      <c r="F94">
        <f>IF(E94="",F93,F93+E94)</f>
        <v/>
      </c>
      <c r="G94" s="11">
        <f>IF(E94="","",MIN(E94,MAX(0,10000-F93))*0.45+MAX(0,E94-MAX(0,10000-F93))*0.25)</f>
        <v/>
      </c>
    </row>
    <row r="95">
      <c r="A95" s="9" t="n"/>
      <c r="F95">
        <f>IF(E95="",F94,F94+E95)</f>
        <v/>
      </c>
      <c r="G95" s="11">
        <f>IF(E95="","",MIN(E95,MAX(0,10000-F94))*0.45+MAX(0,E95-MAX(0,10000-F94))*0.25)</f>
        <v/>
      </c>
    </row>
    <row r="96">
      <c r="A96" s="9" t="n"/>
      <c r="F96">
        <f>IF(E96="",F95,F95+E96)</f>
        <v/>
      </c>
      <c r="G96" s="11">
        <f>IF(E96="","",MIN(E96,MAX(0,10000-F95))*0.45+MAX(0,E96-MAX(0,10000-F95))*0.25)</f>
        <v/>
      </c>
    </row>
    <row r="97">
      <c r="A97" s="9" t="n"/>
      <c r="F97">
        <f>IF(E97="",F96,F96+E97)</f>
        <v/>
      </c>
      <c r="G97" s="11">
        <f>IF(E97="","",MIN(E97,MAX(0,10000-F96))*0.45+MAX(0,E97-MAX(0,10000-F96))*0.25)</f>
        <v/>
      </c>
    </row>
    <row r="98">
      <c r="A98" s="9" t="n"/>
      <c r="F98">
        <f>IF(E98="",F97,F97+E98)</f>
        <v/>
      </c>
      <c r="G98" s="11">
        <f>IF(E98="","",MIN(E98,MAX(0,10000-F97))*0.45+MAX(0,E98-MAX(0,10000-F97))*0.25)</f>
        <v/>
      </c>
    </row>
    <row r="99">
      <c r="A99" s="9" t="n"/>
      <c r="F99">
        <f>IF(E99="",F98,F98+E99)</f>
        <v/>
      </c>
      <c r="G99" s="11">
        <f>IF(E99="","",MIN(E99,MAX(0,10000-F98))*0.45+MAX(0,E99-MAX(0,10000-F98))*0.25)</f>
        <v/>
      </c>
    </row>
    <row r="100">
      <c r="A100" s="9" t="n"/>
      <c r="F100">
        <f>IF(E100="",F99,F99+E100)</f>
        <v/>
      </c>
      <c r="G100" s="11">
        <f>IF(E100="","",MIN(E100,MAX(0,10000-F99))*0.45+MAX(0,E100-MAX(0,10000-F99))*0.25)</f>
        <v/>
      </c>
    </row>
    <row r="101">
      <c r="A101" s="9" t="n"/>
      <c r="F101">
        <f>IF(E101="",F100,F100+E101)</f>
        <v/>
      </c>
      <c r="G101" s="11">
        <f>IF(E101="","",MIN(E101,MAX(0,10000-F100))*0.45+MAX(0,E101-MAX(0,10000-F100))*0.25)</f>
        <v/>
      </c>
    </row>
    <row r="102">
      <c r="A102" s="9" t="n"/>
      <c r="F102">
        <f>IF(E102="",F101,F101+E102)</f>
        <v/>
      </c>
      <c r="G102" s="11">
        <f>IF(E102="","",MIN(E102,MAX(0,10000-F101))*0.45+MAX(0,E102-MAX(0,10000-F101))*0.25)</f>
        <v/>
      </c>
    </row>
    <row r="103">
      <c r="A103" s="9" t="n"/>
      <c r="F103">
        <f>IF(E103="",F102,F102+E103)</f>
        <v/>
      </c>
      <c r="G103" s="11">
        <f>IF(E103="","",MIN(E103,MAX(0,10000-F102))*0.45+MAX(0,E103-MAX(0,10000-F102))*0.25)</f>
        <v/>
      </c>
    </row>
    <row r="104">
      <c r="A104" s="9" t="n"/>
      <c r="F104">
        <f>IF(E104="",F103,F103+E104)</f>
        <v/>
      </c>
      <c r="G104" s="11">
        <f>IF(E104="","",MIN(E104,MAX(0,10000-F103))*0.45+MAX(0,E104-MAX(0,10000-F103))*0.25)</f>
        <v/>
      </c>
    </row>
    <row r="105">
      <c r="A105" s="9" t="n"/>
      <c r="F105">
        <f>IF(E105="",F104,F104+E105)</f>
        <v/>
      </c>
      <c r="G105" s="11">
        <f>IF(E105="","",MIN(E105,MAX(0,10000-F104))*0.45+MAX(0,E105-MAX(0,10000-F104))*0.25)</f>
        <v/>
      </c>
    </row>
    <row r="106">
      <c r="A106" s="9" t="n"/>
      <c r="F106">
        <f>IF(E106="",F105,F105+E106)</f>
        <v/>
      </c>
      <c r="G106" s="11">
        <f>IF(E106="","",MIN(E106,MAX(0,10000-F105))*0.45+MAX(0,E106-MAX(0,10000-F105))*0.25)</f>
        <v/>
      </c>
    </row>
    <row r="107">
      <c r="A107" s="9" t="n"/>
      <c r="F107">
        <f>IF(E107="",F106,F106+E107)</f>
        <v/>
      </c>
      <c r="G107" s="11">
        <f>IF(E107="","",MIN(E107,MAX(0,10000-F106))*0.45+MAX(0,E107-MAX(0,10000-F106))*0.25)</f>
        <v/>
      </c>
    </row>
    <row r="108">
      <c r="A108" s="9" t="n"/>
      <c r="F108">
        <f>IF(E108="",F107,F107+E108)</f>
        <v/>
      </c>
      <c r="G108" s="11">
        <f>IF(E108="","",MIN(E108,MAX(0,10000-F107))*0.45+MAX(0,E108-MAX(0,10000-F107))*0.25)</f>
        <v/>
      </c>
    </row>
    <row r="109">
      <c r="A109" s="9" t="n"/>
      <c r="F109">
        <f>IF(E109="",F108,F108+E109)</f>
        <v/>
      </c>
      <c r="G109" s="11">
        <f>IF(E109="","",MIN(E109,MAX(0,10000-F108))*0.45+MAX(0,E109-MAX(0,10000-F108))*0.25)</f>
        <v/>
      </c>
    </row>
    <row r="110">
      <c r="A110" s="9" t="n"/>
      <c r="F110">
        <f>IF(E110="",F109,F109+E110)</f>
        <v/>
      </c>
      <c r="G110" s="11">
        <f>IF(E110="","",MIN(E110,MAX(0,10000-F109))*0.45+MAX(0,E110-MAX(0,10000-F109))*0.25)</f>
        <v/>
      </c>
    </row>
    <row r="111">
      <c r="A111" s="9" t="n"/>
      <c r="F111">
        <f>IF(E111="",F110,F110+E111)</f>
        <v/>
      </c>
      <c r="G111" s="11">
        <f>IF(E111="","",MIN(E111,MAX(0,10000-F110))*0.45+MAX(0,E111-MAX(0,10000-F110))*0.25)</f>
        <v/>
      </c>
    </row>
    <row r="112">
      <c r="A112" s="9" t="n"/>
      <c r="F112">
        <f>IF(E112="",F111,F111+E112)</f>
        <v/>
      </c>
      <c r="G112" s="11">
        <f>IF(E112="","",MIN(E112,MAX(0,10000-F111))*0.45+MAX(0,E112-MAX(0,10000-F111))*0.25)</f>
        <v/>
      </c>
    </row>
    <row r="113">
      <c r="A113" s="9" t="n"/>
      <c r="F113">
        <f>IF(E113="",F112,F112+E113)</f>
        <v/>
      </c>
      <c r="G113" s="11">
        <f>IF(E113="","",MIN(E113,MAX(0,10000-F112))*0.45+MAX(0,E113-MAX(0,10000-F112))*0.25)</f>
        <v/>
      </c>
    </row>
    <row r="114">
      <c r="A114" s="9" t="n"/>
      <c r="F114">
        <f>IF(E114="",F113,F113+E114)</f>
        <v/>
      </c>
      <c r="G114" s="11">
        <f>IF(E114="","",MIN(E114,MAX(0,10000-F113))*0.45+MAX(0,E114-MAX(0,10000-F113))*0.25)</f>
        <v/>
      </c>
    </row>
    <row r="115">
      <c r="A115" s="9" t="n"/>
      <c r="F115">
        <f>IF(E115="",F114,F114+E115)</f>
        <v/>
      </c>
      <c r="G115" s="11">
        <f>IF(E115="","",MIN(E115,MAX(0,10000-F114))*0.45+MAX(0,E115-MAX(0,10000-F114))*0.25)</f>
        <v/>
      </c>
    </row>
    <row r="116">
      <c r="A116" s="9" t="n"/>
      <c r="F116">
        <f>IF(E116="",F115,F115+E116)</f>
        <v/>
      </c>
      <c r="G116" s="11">
        <f>IF(E116="","",MIN(E116,MAX(0,10000-F115))*0.45+MAX(0,E116-MAX(0,10000-F115))*0.25)</f>
        <v/>
      </c>
    </row>
    <row r="117">
      <c r="A117" s="9" t="n"/>
      <c r="F117">
        <f>IF(E117="",F116,F116+E117)</f>
        <v/>
      </c>
      <c r="G117" s="11">
        <f>IF(E117="","",MIN(E117,MAX(0,10000-F116))*0.45+MAX(0,E117-MAX(0,10000-F116))*0.25)</f>
        <v/>
      </c>
    </row>
    <row r="118">
      <c r="A118" s="9" t="n"/>
      <c r="F118">
        <f>IF(E118="",F117,F117+E118)</f>
        <v/>
      </c>
      <c r="G118" s="11">
        <f>IF(E118="","",MIN(E118,MAX(0,10000-F117))*0.45+MAX(0,E118-MAX(0,10000-F117))*0.25)</f>
        <v/>
      </c>
    </row>
    <row r="119">
      <c r="A119" s="9" t="n"/>
      <c r="F119">
        <f>IF(E119="",F118,F118+E119)</f>
        <v/>
      </c>
      <c r="G119" s="11">
        <f>IF(E119="","",MIN(E119,MAX(0,10000-F118))*0.45+MAX(0,E119-MAX(0,10000-F118))*0.25)</f>
        <v/>
      </c>
    </row>
    <row r="120">
      <c r="A120" s="9" t="n"/>
      <c r="F120">
        <f>IF(E120="",F119,F119+E120)</f>
        <v/>
      </c>
      <c r="G120" s="11">
        <f>IF(E120="","",MIN(E120,MAX(0,10000-F119))*0.45+MAX(0,E120-MAX(0,10000-F119))*0.25)</f>
        <v/>
      </c>
    </row>
    <row r="121">
      <c r="A121" s="9" t="n"/>
      <c r="F121">
        <f>IF(E121="",F120,F120+E121)</f>
        <v/>
      </c>
      <c r="G121" s="11">
        <f>IF(E121="","",MIN(E121,MAX(0,10000-F120))*0.45+MAX(0,E121-MAX(0,10000-F120))*0.25)</f>
        <v/>
      </c>
    </row>
    <row r="122">
      <c r="A122" s="9" t="n"/>
      <c r="F122">
        <f>IF(E122="",F121,F121+E122)</f>
        <v/>
      </c>
      <c r="G122" s="11">
        <f>IF(E122="","",MIN(E122,MAX(0,10000-F121))*0.45+MAX(0,E122-MAX(0,10000-F121))*0.25)</f>
        <v/>
      </c>
    </row>
    <row r="123">
      <c r="A123" s="9" t="n"/>
      <c r="F123">
        <f>IF(E123="",F122,F122+E123)</f>
        <v/>
      </c>
      <c r="G123" s="11">
        <f>IF(E123="","",MIN(E123,MAX(0,10000-F122))*0.45+MAX(0,E123-MAX(0,10000-F122))*0.25)</f>
        <v/>
      </c>
    </row>
    <row r="124">
      <c r="A124" s="9" t="n"/>
      <c r="F124">
        <f>IF(E124="",F123,F123+E124)</f>
        <v/>
      </c>
      <c r="G124" s="11">
        <f>IF(E124="","",MIN(E124,MAX(0,10000-F123))*0.45+MAX(0,E124-MAX(0,10000-F123))*0.25)</f>
        <v/>
      </c>
    </row>
    <row r="125">
      <c r="A125" s="9" t="n"/>
      <c r="F125">
        <f>IF(E125="",F124,F124+E125)</f>
        <v/>
      </c>
      <c r="G125" s="11">
        <f>IF(E125="","",MIN(E125,MAX(0,10000-F124))*0.45+MAX(0,E125-MAX(0,10000-F124))*0.25)</f>
        <v/>
      </c>
    </row>
    <row r="126">
      <c r="A126" s="9" t="n"/>
      <c r="F126">
        <f>IF(E126="",F125,F125+E126)</f>
        <v/>
      </c>
      <c r="G126" s="11">
        <f>IF(E126="","",MIN(E126,MAX(0,10000-F125))*0.45+MAX(0,E126-MAX(0,10000-F125))*0.25)</f>
        <v/>
      </c>
    </row>
    <row r="127">
      <c r="A127" s="9" t="n"/>
      <c r="F127">
        <f>IF(E127="",F126,F126+E127)</f>
        <v/>
      </c>
      <c r="G127" s="11">
        <f>IF(E127="","",MIN(E127,MAX(0,10000-F126))*0.45+MAX(0,E127-MAX(0,10000-F126))*0.25)</f>
        <v/>
      </c>
    </row>
    <row r="128">
      <c r="A128" s="9" t="n"/>
      <c r="F128">
        <f>IF(E128="",F127,F127+E128)</f>
        <v/>
      </c>
      <c r="G128" s="11">
        <f>IF(E128="","",MIN(E128,MAX(0,10000-F127))*0.45+MAX(0,E128-MAX(0,10000-F127))*0.25)</f>
        <v/>
      </c>
    </row>
    <row r="129">
      <c r="A129" s="9" t="n"/>
      <c r="F129">
        <f>IF(E129="",F128,F128+E129)</f>
        <v/>
      </c>
      <c r="G129" s="11">
        <f>IF(E129="","",MIN(E129,MAX(0,10000-F128))*0.45+MAX(0,E129-MAX(0,10000-F128))*0.25)</f>
        <v/>
      </c>
    </row>
    <row r="130">
      <c r="A130" s="9" t="n"/>
      <c r="F130">
        <f>IF(E130="",F129,F129+E130)</f>
        <v/>
      </c>
      <c r="G130" s="11">
        <f>IF(E130="","",MIN(E130,MAX(0,10000-F129))*0.45+MAX(0,E130-MAX(0,10000-F129))*0.25)</f>
        <v/>
      </c>
    </row>
    <row r="131">
      <c r="A131" s="9" t="n"/>
      <c r="F131">
        <f>IF(E131="",F130,F130+E131)</f>
        <v/>
      </c>
      <c r="G131" s="11">
        <f>IF(E131="","",MIN(E131,MAX(0,10000-F130))*0.45+MAX(0,E131-MAX(0,10000-F130))*0.25)</f>
        <v/>
      </c>
    </row>
    <row r="132">
      <c r="A132" s="9" t="n"/>
      <c r="F132">
        <f>IF(E132="",F131,F131+E132)</f>
        <v/>
      </c>
      <c r="G132" s="11">
        <f>IF(E132="","",MIN(E132,MAX(0,10000-F131))*0.45+MAX(0,E132-MAX(0,10000-F131))*0.25)</f>
        <v/>
      </c>
    </row>
    <row r="133">
      <c r="A133" s="9" t="n"/>
      <c r="F133">
        <f>IF(E133="",F132,F132+E133)</f>
        <v/>
      </c>
      <c r="G133" s="11">
        <f>IF(E133="","",MIN(E133,MAX(0,10000-F132))*0.45+MAX(0,E133-MAX(0,10000-F132))*0.25)</f>
        <v/>
      </c>
    </row>
    <row r="134">
      <c r="A134" s="9" t="n"/>
      <c r="F134">
        <f>IF(E134="",F133,F133+E134)</f>
        <v/>
      </c>
      <c r="G134" s="11">
        <f>IF(E134="","",MIN(E134,MAX(0,10000-F133))*0.45+MAX(0,E134-MAX(0,10000-F133))*0.25)</f>
        <v/>
      </c>
    </row>
    <row r="135">
      <c r="A135" s="9" t="n"/>
      <c r="F135">
        <f>IF(E135="",F134,F134+E135)</f>
        <v/>
      </c>
      <c r="G135" s="11">
        <f>IF(E135="","",MIN(E135,MAX(0,10000-F134))*0.45+MAX(0,E135-MAX(0,10000-F134))*0.25)</f>
        <v/>
      </c>
    </row>
    <row r="136">
      <c r="A136" s="9" t="n"/>
      <c r="F136">
        <f>IF(E136="",F135,F135+E136)</f>
        <v/>
      </c>
      <c r="G136" s="11">
        <f>IF(E136="","",MIN(E136,MAX(0,10000-F135))*0.45+MAX(0,E136-MAX(0,10000-F135))*0.25)</f>
        <v/>
      </c>
    </row>
    <row r="137">
      <c r="A137" s="9" t="n"/>
      <c r="F137">
        <f>IF(E137="",F136,F136+E137)</f>
        <v/>
      </c>
      <c r="G137" s="11">
        <f>IF(E137="","",MIN(E137,MAX(0,10000-F136))*0.45+MAX(0,E137-MAX(0,10000-F136))*0.25)</f>
        <v/>
      </c>
    </row>
    <row r="138">
      <c r="A138" s="9" t="n"/>
      <c r="F138">
        <f>IF(E138="",F137,F137+E138)</f>
        <v/>
      </c>
      <c r="G138" s="11">
        <f>IF(E138="","",MIN(E138,MAX(0,10000-F137))*0.45+MAX(0,E138-MAX(0,10000-F137))*0.25)</f>
        <v/>
      </c>
    </row>
    <row r="139">
      <c r="A139" s="9" t="n"/>
      <c r="F139">
        <f>IF(E139="",F138,F138+E139)</f>
        <v/>
      </c>
      <c r="G139" s="11">
        <f>IF(E139="","",MIN(E139,MAX(0,10000-F138))*0.45+MAX(0,E139-MAX(0,10000-F138))*0.25)</f>
        <v/>
      </c>
    </row>
    <row r="140">
      <c r="A140" s="9" t="n"/>
      <c r="F140">
        <f>IF(E140="",F139,F139+E140)</f>
        <v/>
      </c>
      <c r="G140" s="11">
        <f>IF(E140="","",MIN(E140,MAX(0,10000-F139))*0.45+MAX(0,E140-MAX(0,10000-F139))*0.25)</f>
        <v/>
      </c>
    </row>
    <row r="141">
      <c r="A141" s="9" t="n"/>
      <c r="F141">
        <f>IF(E141="",F140,F140+E141)</f>
        <v/>
      </c>
      <c r="G141" s="11">
        <f>IF(E141="","",MIN(E141,MAX(0,10000-F140))*0.45+MAX(0,E141-MAX(0,10000-F140))*0.25)</f>
        <v/>
      </c>
    </row>
    <row r="142">
      <c r="A142" s="9" t="n"/>
      <c r="F142">
        <f>IF(E142="",F141,F141+E142)</f>
        <v/>
      </c>
      <c r="G142" s="11">
        <f>IF(E142="","",MIN(E142,MAX(0,10000-F141))*0.45+MAX(0,E142-MAX(0,10000-F141))*0.25)</f>
        <v/>
      </c>
    </row>
    <row r="143">
      <c r="A143" s="9" t="n"/>
      <c r="F143">
        <f>IF(E143="",F142,F142+E143)</f>
        <v/>
      </c>
      <c r="G143" s="11">
        <f>IF(E143="","",MIN(E143,MAX(0,10000-F142))*0.45+MAX(0,E143-MAX(0,10000-F142))*0.25)</f>
        <v/>
      </c>
    </row>
    <row r="144">
      <c r="A144" s="9" t="n"/>
      <c r="F144">
        <f>IF(E144="",F143,F143+E144)</f>
        <v/>
      </c>
      <c r="G144" s="11">
        <f>IF(E144="","",MIN(E144,MAX(0,10000-F143))*0.45+MAX(0,E144-MAX(0,10000-F143))*0.25)</f>
        <v/>
      </c>
    </row>
    <row r="145">
      <c r="A145" s="9" t="n"/>
      <c r="F145">
        <f>IF(E145="",F144,F144+E145)</f>
        <v/>
      </c>
      <c r="G145" s="11">
        <f>IF(E145="","",MIN(E145,MAX(0,10000-F144))*0.45+MAX(0,E145-MAX(0,10000-F144))*0.25)</f>
        <v/>
      </c>
    </row>
    <row r="146">
      <c r="A146" s="9" t="n"/>
      <c r="F146">
        <f>IF(E146="",F145,F145+E146)</f>
        <v/>
      </c>
      <c r="G146" s="11">
        <f>IF(E146="","",MIN(E146,MAX(0,10000-F145))*0.45+MAX(0,E146-MAX(0,10000-F145))*0.25)</f>
        <v/>
      </c>
    </row>
    <row r="147">
      <c r="A147" s="9" t="n"/>
      <c r="F147">
        <f>IF(E147="",F146,F146+E147)</f>
        <v/>
      </c>
      <c r="G147" s="11">
        <f>IF(E147="","",MIN(E147,MAX(0,10000-F146))*0.45+MAX(0,E147-MAX(0,10000-F146))*0.25)</f>
        <v/>
      </c>
    </row>
    <row r="148">
      <c r="A148" s="9" t="n"/>
      <c r="F148">
        <f>IF(E148="",F147,F147+E148)</f>
        <v/>
      </c>
      <c r="G148" s="11">
        <f>IF(E148="","",MIN(E148,MAX(0,10000-F147))*0.45+MAX(0,E148-MAX(0,10000-F147))*0.25)</f>
        <v/>
      </c>
    </row>
    <row r="149">
      <c r="A149" s="9" t="n"/>
      <c r="F149">
        <f>IF(E149="",F148,F148+E149)</f>
        <v/>
      </c>
      <c r="G149" s="11">
        <f>IF(E149="","",MIN(E149,MAX(0,10000-F148))*0.45+MAX(0,E149-MAX(0,10000-F148))*0.25)</f>
        <v/>
      </c>
    </row>
    <row r="150">
      <c r="A150" s="9" t="n"/>
      <c r="F150">
        <f>IF(E150="",F149,F149+E150)</f>
        <v/>
      </c>
      <c r="G150" s="11">
        <f>IF(E150="","",MIN(E150,MAX(0,10000-F149))*0.45+MAX(0,E150-MAX(0,10000-F149))*0.25)</f>
        <v/>
      </c>
    </row>
    <row r="151">
      <c r="A151" s="9" t="n"/>
      <c r="F151">
        <f>IF(E151="",F150,F150+E151)</f>
        <v/>
      </c>
      <c r="G151" s="11">
        <f>IF(E151="","",MIN(E151,MAX(0,10000-F150))*0.45+MAX(0,E151-MAX(0,10000-F150))*0.25)</f>
        <v/>
      </c>
    </row>
    <row r="152">
      <c r="A152" s="9" t="n"/>
      <c r="F152">
        <f>IF(E152="",F151,F151+E152)</f>
        <v/>
      </c>
      <c r="G152" s="11">
        <f>IF(E152="","",MIN(E152,MAX(0,10000-F151))*0.45+MAX(0,E152-MAX(0,10000-F151))*0.25)</f>
        <v/>
      </c>
    </row>
    <row r="153">
      <c r="A153" s="9" t="n"/>
      <c r="F153">
        <f>IF(E153="",F152,F152+E153)</f>
        <v/>
      </c>
      <c r="G153" s="11">
        <f>IF(E153="","",MIN(E153,MAX(0,10000-F152))*0.45+MAX(0,E153-MAX(0,10000-F152))*0.25)</f>
        <v/>
      </c>
    </row>
    <row r="154">
      <c r="A154" s="9" t="n"/>
      <c r="F154">
        <f>IF(E154="",F153,F153+E154)</f>
        <v/>
      </c>
      <c r="G154" s="11">
        <f>IF(E154="","",MIN(E154,MAX(0,10000-F153))*0.45+MAX(0,E154-MAX(0,10000-F153))*0.25)</f>
        <v/>
      </c>
    </row>
    <row r="155">
      <c r="A155" s="9" t="n"/>
      <c r="F155">
        <f>IF(E155="",F154,F154+E155)</f>
        <v/>
      </c>
      <c r="G155" s="11">
        <f>IF(E155="","",MIN(E155,MAX(0,10000-F154))*0.45+MAX(0,E155-MAX(0,10000-F154))*0.25)</f>
        <v/>
      </c>
    </row>
    <row r="156">
      <c r="A156" s="9" t="n"/>
      <c r="F156">
        <f>IF(E156="",F155,F155+E156)</f>
        <v/>
      </c>
      <c r="G156" s="11">
        <f>IF(E156="","",MIN(E156,MAX(0,10000-F155))*0.45+MAX(0,E156-MAX(0,10000-F155))*0.25)</f>
        <v/>
      </c>
    </row>
    <row r="157">
      <c r="A157" s="9" t="n"/>
      <c r="F157">
        <f>IF(E157="",F156,F156+E157)</f>
        <v/>
      </c>
      <c r="G157" s="11">
        <f>IF(E157="","",MIN(E157,MAX(0,10000-F156))*0.45+MAX(0,E157-MAX(0,10000-F156))*0.25)</f>
        <v/>
      </c>
    </row>
    <row r="158">
      <c r="A158" s="9" t="n"/>
      <c r="F158">
        <f>IF(E158="",F157,F157+E158)</f>
        <v/>
      </c>
      <c r="G158" s="11">
        <f>IF(E158="","",MIN(E158,MAX(0,10000-F157))*0.45+MAX(0,E158-MAX(0,10000-F157))*0.25)</f>
        <v/>
      </c>
    </row>
    <row r="159">
      <c r="A159" s="9" t="n"/>
      <c r="F159">
        <f>IF(E159="",F158,F158+E159)</f>
        <v/>
      </c>
      <c r="G159" s="11">
        <f>IF(E159="","",MIN(E159,MAX(0,10000-F158))*0.45+MAX(0,E159-MAX(0,10000-F158))*0.25)</f>
        <v/>
      </c>
    </row>
    <row r="160">
      <c r="A160" s="9" t="n"/>
      <c r="F160">
        <f>IF(E160="",F159,F159+E160)</f>
        <v/>
      </c>
      <c r="G160" s="11">
        <f>IF(E160="","",MIN(E160,MAX(0,10000-F159))*0.45+MAX(0,E160-MAX(0,10000-F159))*0.25)</f>
        <v/>
      </c>
    </row>
    <row r="161">
      <c r="A161" s="9" t="n"/>
      <c r="F161">
        <f>IF(E161="",F160,F160+E161)</f>
        <v/>
      </c>
      <c r="G161" s="11">
        <f>IF(E161="","",MIN(E161,MAX(0,10000-F160))*0.45+MAX(0,E161-MAX(0,10000-F160))*0.25)</f>
        <v/>
      </c>
    </row>
    <row r="162">
      <c r="A162" s="9" t="n"/>
      <c r="F162">
        <f>IF(E162="",F161,F161+E162)</f>
        <v/>
      </c>
      <c r="G162" s="11">
        <f>IF(E162="","",MIN(E162,MAX(0,10000-F161))*0.45+MAX(0,E162-MAX(0,10000-F161))*0.25)</f>
        <v/>
      </c>
    </row>
    <row r="163">
      <c r="A163" s="9" t="n"/>
      <c r="F163">
        <f>IF(E163="",F162,F162+E163)</f>
        <v/>
      </c>
      <c r="G163" s="11">
        <f>IF(E163="","",MIN(E163,MAX(0,10000-F162))*0.45+MAX(0,E163-MAX(0,10000-F162))*0.25)</f>
        <v/>
      </c>
    </row>
    <row r="164">
      <c r="A164" s="9" t="n"/>
      <c r="F164">
        <f>IF(E164="",F163,F163+E164)</f>
        <v/>
      </c>
      <c r="G164" s="11">
        <f>IF(E164="","",MIN(E164,MAX(0,10000-F163))*0.45+MAX(0,E164-MAX(0,10000-F163))*0.25)</f>
        <v/>
      </c>
    </row>
    <row r="165">
      <c r="A165" s="9" t="n"/>
      <c r="F165">
        <f>IF(E165="",F164,F164+E165)</f>
        <v/>
      </c>
      <c r="G165" s="11">
        <f>IF(E165="","",MIN(E165,MAX(0,10000-F164))*0.45+MAX(0,E165-MAX(0,10000-F164))*0.25)</f>
        <v/>
      </c>
    </row>
    <row r="166">
      <c r="A166" s="9" t="n"/>
      <c r="F166">
        <f>IF(E166="",F165,F165+E166)</f>
        <v/>
      </c>
      <c r="G166" s="11">
        <f>IF(E166="","",MIN(E166,MAX(0,10000-F165))*0.45+MAX(0,E166-MAX(0,10000-F165))*0.25)</f>
        <v/>
      </c>
    </row>
    <row r="167">
      <c r="A167" s="9" t="n"/>
      <c r="F167">
        <f>IF(E167="",F166,F166+E167)</f>
        <v/>
      </c>
      <c r="G167" s="11">
        <f>IF(E167="","",MIN(E167,MAX(0,10000-F166))*0.45+MAX(0,E167-MAX(0,10000-F166))*0.25)</f>
        <v/>
      </c>
    </row>
    <row r="168">
      <c r="A168" s="9" t="n"/>
      <c r="F168">
        <f>IF(E168="",F167,F167+E168)</f>
        <v/>
      </c>
      <c r="G168" s="11">
        <f>IF(E168="","",MIN(E168,MAX(0,10000-F167))*0.45+MAX(0,E168-MAX(0,10000-F167))*0.25)</f>
        <v/>
      </c>
    </row>
    <row r="169">
      <c r="A169" s="9" t="n"/>
      <c r="F169">
        <f>IF(E169="",F168,F168+E169)</f>
        <v/>
      </c>
      <c r="G169" s="11">
        <f>IF(E169="","",MIN(E169,MAX(0,10000-F168))*0.45+MAX(0,E169-MAX(0,10000-F168))*0.25)</f>
        <v/>
      </c>
    </row>
    <row r="170">
      <c r="A170" s="9" t="n"/>
      <c r="F170">
        <f>IF(E170="",F169,F169+E170)</f>
        <v/>
      </c>
      <c r="G170" s="11">
        <f>IF(E170="","",MIN(E170,MAX(0,10000-F169))*0.45+MAX(0,E170-MAX(0,10000-F169))*0.25)</f>
        <v/>
      </c>
    </row>
    <row r="171">
      <c r="A171" s="9" t="n"/>
      <c r="F171">
        <f>IF(E171="",F170,F170+E171)</f>
        <v/>
      </c>
      <c r="G171" s="11">
        <f>IF(E171="","",MIN(E171,MAX(0,10000-F170))*0.45+MAX(0,E171-MAX(0,10000-F170))*0.25)</f>
        <v/>
      </c>
    </row>
    <row r="172">
      <c r="A172" s="9" t="n"/>
      <c r="F172">
        <f>IF(E172="",F171,F171+E172)</f>
        <v/>
      </c>
      <c r="G172" s="11">
        <f>IF(E172="","",MIN(E172,MAX(0,10000-F171))*0.45+MAX(0,E172-MAX(0,10000-F171))*0.25)</f>
        <v/>
      </c>
    </row>
    <row r="173">
      <c r="A173" s="9" t="n"/>
      <c r="F173">
        <f>IF(E173="",F172,F172+E173)</f>
        <v/>
      </c>
      <c r="G173" s="11">
        <f>IF(E173="","",MIN(E173,MAX(0,10000-F172))*0.45+MAX(0,E173-MAX(0,10000-F172))*0.25)</f>
        <v/>
      </c>
    </row>
    <row r="174">
      <c r="A174" s="9" t="n"/>
      <c r="F174">
        <f>IF(E174="",F173,F173+E174)</f>
        <v/>
      </c>
      <c r="G174" s="11">
        <f>IF(E174="","",MIN(E174,MAX(0,10000-F173))*0.45+MAX(0,E174-MAX(0,10000-F173))*0.25)</f>
        <v/>
      </c>
    </row>
    <row r="175">
      <c r="A175" s="9" t="n"/>
      <c r="F175">
        <f>IF(E175="",F174,F174+E175)</f>
        <v/>
      </c>
      <c r="G175" s="11">
        <f>IF(E175="","",MIN(E175,MAX(0,10000-F174))*0.45+MAX(0,E175-MAX(0,10000-F174))*0.25)</f>
        <v/>
      </c>
    </row>
    <row r="176">
      <c r="A176" s="9" t="n"/>
      <c r="F176">
        <f>IF(E176="",F175,F175+E176)</f>
        <v/>
      </c>
      <c r="G176" s="11">
        <f>IF(E176="","",MIN(E176,MAX(0,10000-F175))*0.45+MAX(0,E176-MAX(0,10000-F175))*0.25)</f>
        <v/>
      </c>
    </row>
    <row r="177">
      <c r="A177" s="9" t="n"/>
      <c r="F177">
        <f>IF(E177="",F176,F176+E177)</f>
        <v/>
      </c>
      <c r="G177" s="11">
        <f>IF(E177="","",MIN(E177,MAX(0,10000-F176))*0.45+MAX(0,E177-MAX(0,10000-F176))*0.25)</f>
        <v/>
      </c>
    </row>
    <row r="178">
      <c r="A178" s="9" t="n"/>
      <c r="F178">
        <f>IF(E178="",F177,F177+E178)</f>
        <v/>
      </c>
      <c r="G178" s="11">
        <f>IF(E178="","",MIN(E178,MAX(0,10000-F177))*0.45+MAX(0,E178-MAX(0,10000-F177))*0.25)</f>
        <v/>
      </c>
    </row>
    <row r="179">
      <c r="A179" s="9" t="n"/>
      <c r="F179">
        <f>IF(E179="",F178,F178+E179)</f>
        <v/>
      </c>
      <c r="G179" s="11">
        <f>IF(E179="","",MIN(E179,MAX(0,10000-F178))*0.45+MAX(0,E179-MAX(0,10000-F178))*0.25)</f>
        <v/>
      </c>
    </row>
    <row r="180">
      <c r="A180" s="9" t="n"/>
      <c r="F180">
        <f>IF(E180="",F179,F179+E180)</f>
        <v/>
      </c>
      <c r="G180" s="11">
        <f>IF(E180="","",MIN(E180,MAX(0,10000-F179))*0.45+MAX(0,E180-MAX(0,10000-F179))*0.25)</f>
        <v/>
      </c>
    </row>
    <row r="181">
      <c r="A181" s="9" t="n"/>
      <c r="F181">
        <f>IF(E181="",F180,F180+E181)</f>
        <v/>
      </c>
      <c r="G181" s="11">
        <f>IF(E181="","",MIN(E181,MAX(0,10000-F180))*0.45+MAX(0,E181-MAX(0,10000-F180))*0.25)</f>
        <v/>
      </c>
    </row>
    <row r="182">
      <c r="A182" s="9" t="n"/>
      <c r="F182">
        <f>IF(E182="",F181,F181+E182)</f>
        <v/>
      </c>
      <c r="G182" s="11">
        <f>IF(E182="","",MIN(E182,MAX(0,10000-F181))*0.45+MAX(0,E182-MAX(0,10000-F181))*0.25)</f>
        <v/>
      </c>
    </row>
    <row r="183">
      <c r="A183" s="9" t="n"/>
      <c r="F183">
        <f>IF(E183="",F182,F182+E183)</f>
        <v/>
      </c>
      <c r="G183" s="11">
        <f>IF(E183="","",MIN(E183,MAX(0,10000-F182))*0.45+MAX(0,E183-MAX(0,10000-F182))*0.25)</f>
        <v/>
      </c>
    </row>
    <row r="184">
      <c r="A184" s="9" t="n"/>
      <c r="F184">
        <f>IF(E184="",F183,F183+E184)</f>
        <v/>
      </c>
      <c r="G184" s="11">
        <f>IF(E184="","",MIN(E184,MAX(0,10000-F183))*0.45+MAX(0,E184-MAX(0,10000-F183))*0.25)</f>
        <v/>
      </c>
    </row>
    <row r="185">
      <c r="A185" s="9" t="n"/>
      <c r="F185">
        <f>IF(E185="",F184,F184+E185)</f>
        <v/>
      </c>
      <c r="G185" s="11">
        <f>IF(E185="","",MIN(E185,MAX(0,10000-F184))*0.45+MAX(0,E185-MAX(0,10000-F184))*0.25)</f>
        <v/>
      </c>
    </row>
    <row r="186">
      <c r="A186" s="9" t="n"/>
      <c r="F186">
        <f>IF(E186="",F185,F185+E186)</f>
        <v/>
      </c>
      <c r="G186" s="11">
        <f>IF(E186="","",MIN(E186,MAX(0,10000-F185))*0.45+MAX(0,E186-MAX(0,10000-F185))*0.25)</f>
        <v/>
      </c>
    </row>
    <row r="187">
      <c r="A187" s="9" t="n"/>
      <c r="F187">
        <f>IF(E187="",F186,F186+E187)</f>
        <v/>
      </c>
      <c r="G187" s="11">
        <f>IF(E187="","",MIN(E187,MAX(0,10000-F186))*0.45+MAX(0,E187-MAX(0,10000-F186))*0.25)</f>
        <v/>
      </c>
    </row>
    <row r="188">
      <c r="A188" s="9" t="n"/>
      <c r="F188">
        <f>IF(E188="",F187,F187+E188)</f>
        <v/>
      </c>
      <c r="G188" s="11">
        <f>IF(E188="","",MIN(E188,MAX(0,10000-F187))*0.45+MAX(0,E188-MAX(0,10000-F187))*0.25)</f>
        <v/>
      </c>
    </row>
    <row r="189">
      <c r="A189" s="9" t="n"/>
      <c r="F189">
        <f>IF(E189="",F188,F188+E189)</f>
        <v/>
      </c>
      <c r="G189" s="11">
        <f>IF(E189="","",MIN(E189,MAX(0,10000-F188))*0.45+MAX(0,E189-MAX(0,10000-F188))*0.25)</f>
        <v/>
      </c>
    </row>
    <row r="190">
      <c r="A190" s="9" t="n"/>
      <c r="F190">
        <f>IF(E190="",F189,F189+E190)</f>
        <v/>
      </c>
      <c r="G190" s="11">
        <f>IF(E190="","",MIN(E190,MAX(0,10000-F189))*0.45+MAX(0,E190-MAX(0,10000-F189))*0.25)</f>
        <v/>
      </c>
    </row>
    <row r="191">
      <c r="A191" s="9" t="n"/>
      <c r="F191">
        <f>IF(E191="",F190,F190+E191)</f>
        <v/>
      </c>
      <c r="G191" s="11">
        <f>IF(E191="","",MIN(E191,MAX(0,10000-F190))*0.45+MAX(0,E191-MAX(0,10000-F190))*0.25)</f>
        <v/>
      </c>
    </row>
    <row r="192">
      <c r="A192" s="9" t="n"/>
      <c r="F192">
        <f>IF(E192="",F191,F191+E192)</f>
        <v/>
      </c>
      <c r="G192" s="11">
        <f>IF(E192="","",MIN(E192,MAX(0,10000-F191))*0.45+MAX(0,E192-MAX(0,10000-F191))*0.25)</f>
        <v/>
      </c>
    </row>
    <row r="193">
      <c r="A193" s="9" t="n"/>
      <c r="F193">
        <f>IF(E193="",F192,F192+E193)</f>
        <v/>
      </c>
      <c r="G193" s="11">
        <f>IF(E193="","",MIN(E193,MAX(0,10000-F192))*0.45+MAX(0,E193-MAX(0,10000-F192))*0.25)</f>
        <v/>
      </c>
    </row>
    <row r="194">
      <c r="A194" s="9" t="n"/>
      <c r="F194">
        <f>IF(E194="",F193,F193+E194)</f>
        <v/>
      </c>
      <c r="G194" s="11">
        <f>IF(E194="","",MIN(E194,MAX(0,10000-F193))*0.45+MAX(0,E194-MAX(0,10000-F193))*0.25)</f>
        <v/>
      </c>
    </row>
    <row r="195">
      <c r="A195" s="9" t="n"/>
      <c r="F195">
        <f>IF(E195="",F194,F194+E195)</f>
        <v/>
      </c>
      <c r="G195" s="11">
        <f>IF(E195="","",MIN(E195,MAX(0,10000-F194))*0.45+MAX(0,E195-MAX(0,10000-F194))*0.25)</f>
        <v/>
      </c>
    </row>
    <row r="196">
      <c r="A196" s="9" t="n"/>
      <c r="F196">
        <f>IF(E196="",F195,F195+E196)</f>
        <v/>
      </c>
      <c r="G196" s="11">
        <f>IF(E196="","",MIN(E196,MAX(0,10000-F195))*0.45+MAX(0,E196-MAX(0,10000-F195))*0.25)</f>
        <v/>
      </c>
    </row>
    <row r="197">
      <c r="A197" s="9" t="n"/>
      <c r="F197">
        <f>IF(E197="",F196,F196+E197)</f>
        <v/>
      </c>
      <c r="G197" s="11">
        <f>IF(E197="","",MIN(E197,MAX(0,10000-F196))*0.45+MAX(0,E197-MAX(0,10000-F196))*0.25)</f>
        <v/>
      </c>
    </row>
    <row r="198">
      <c r="A198" s="9" t="n"/>
      <c r="F198">
        <f>IF(E198="",F197,F197+E198)</f>
        <v/>
      </c>
      <c r="G198" s="11">
        <f>IF(E198="","",MIN(E198,MAX(0,10000-F197))*0.45+MAX(0,E198-MAX(0,10000-F197))*0.25)</f>
        <v/>
      </c>
    </row>
    <row r="199">
      <c r="A199" s="9" t="n"/>
      <c r="F199">
        <f>IF(E199="",F198,F198+E199)</f>
        <v/>
      </c>
      <c r="G199" s="11">
        <f>IF(E199="","",MIN(E199,MAX(0,10000-F198))*0.45+MAX(0,E199-MAX(0,10000-F198))*0.25)</f>
        <v/>
      </c>
    </row>
    <row r="200">
      <c r="A200" s="9" t="n"/>
      <c r="F200">
        <f>IF(E200="",F199,F199+E200)</f>
        <v/>
      </c>
      <c r="G200" s="11">
        <f>IF(E200="","",MIN(E200,MAX(0,10000-F199))*0.45+MAX(0,E200-MAX(0,10000-F199))*0.25)</f>
        <v/>
      </c>
    </row>
    <row r="201">
      <c r="A201" s="9" t="n"/>
      <c r="F201">
        <f>IF(E201="",F200,F200+E201)</f>
        <v/>
      </c>
      <c r="G201" s="11">
        <f>IF(E201="","",MIN(E201,MAX(0,10000-F200))*0.45+MAX(0,E201-MAX(0,10000-F200))*0.25)</f>
        <v/>
      </c>
    </row>
    <row r="202">
      <c r="A202" s="9" t="n"/>
      <c r="F202">
        <f>IF(E202="",F201,F201+E202)</f>
        <v/>
      </c>
      <c r="G202" s="11">
        <f>IF(E202="","",MIN(E202,MAX(0,10000-F201))*0.45+MAX(0,E202-MAX(0,10000-F201))*0.25)</f>
        <v/>
      </c>
    </row>
    <row r="203">
      <c r="A203" s="9" t="n"/>
      <c r="F203">
        <f>IF(E203="",F202,F202+E203)</f>
        <v/>
      </c>
      <c r="G203" s="11">
        <f>IF(E203="","",MIN(E203,MAX(0,10000-F202))*0.45+MAX(0,E203-MAX(0,10000-F202))*0.25)</f>
        <v/>
      </c>
    </row>
    <row r="204">
      <c r="A204" s="9" t="n"/>
      <c r="F204">
        <f>IF(E204="",F203,F203+E204)</f>
        <v/>
      </c>
      <c r="G204" s="11">
        <f>IF(E204="","",MIN(E204,MAX(0,10000-F203))*0.45+MAX(0,E204-MAX(0,10000-F203))*0.25)</f>
        <v/>
      </c>
    </row>
    <row r="205">
      <c r="A205" s="9" t="n"/>
      <c r="F205">
        <f>IF(E205="",F204,F204+E205)</f>
        <v/>
      </c>
      <c r="G205" s="11">
        <f>IF(E205="","",MIN(E205,MAX(0,10000-F204))*0.45+MAX(0,E205-MAX(0,10000-F204))*0.25)</f>
        <v/>
      </c>
    </row>
    <row r="206">
      <c r="A206" s="9" t="n"/>
      <c r="F206">
        <f>IF(E206="",F205,F205+E206)</f>
        <v/>
      </c>
      <c r="G206" s="11">
        <f>IF(E206="","",MIN(E206,MAX(0,10000-F205))*0.45+MAX(0,E206-MAX(0,10000-F205))*0.25)</f>
        <v/>
      </c>
    </row>
    <row r="207">
      <c r="A207" s="9" t="n"/>
      <c r="F207">
        <f>IF(E207="",F206,F206+E207)</f>
        <v/>
      </c>
      <c r="G207" s="11">
        <f>IF(E207="","",MIN(E207,MAX(0,10000-F206))*0.45+MAX(0,E207-MAX(0,10000-F206))*0.25)</f>
        <v/>
      </c>
    </row>
    <row r="208">
      <c r="A208" s="9" t="n"/>
      <c r="F208">
        <f>IF(E208="",F207,F207+E208)</f>
        <v/>
      </c>
      <c r="G208" s="11">
        <f>IF(E208="","",MIN(E208,MAX(0,10000-F207))*0.45+MAX(0,E208-MAX(0,10000-F207))*0.25)</f>
        <v/>
      </c>
    </row>
    <row r="209">
      <c r="A209" s="9" t="n"/>
      <c r="F209">
        <f>IF(E209="",F208,F208+E209)</f>
        <v/>
      </c>
      <c r="G209" s="11">
        <f>IF(E209="","",MIN(E209,MAX(0,10000-F208))*0.45+MAX(0,E209-MAX(0,10000-F208))*0.25)</f>
        <v/>
      </c>
    </row>
    <row r="210">
      <c r="A210" s="9" t="n"/>
      <c r="F210">
        <f>IF(E210="",F209,F209+E210)</f>
        <v/>
      </c>
      <c r="G210" s="11">
        <f>IF(E210="","",MIN(E210,MAX(0,10000-F209))*0.45+MAX(0,E210-MAX(0,10000-F209))*0.25)</f>
        <v/>
      </c>
    </row>
    <row r="211">
      <c r="A211" s="9" t="n"/>
      <c r="F211">
        <f>IF(E211="",F210,F210+E211)</f>
        <v/>
      </c>
      <c r="G211" s="11">
        <f>IF(E211="","",MIN(E211,MAX(0,10000-F210))*0.45+MAX(0,E211-MAX(0,10000-F210))*0.25)</f>
        <v/>
      </c>
    </row>
    <row r="212">
      <c r="A212" s="9" t="n"/>
      <c r="F212">
        <f>IF(E212="",F211,F211+E212)</f>
        <v/>
      </c>
      <c r="G212" s="11">
        <f>IF(E212="","",MIN(E212,MAX(0,10000-F211))*0.45+MAX(0,E212-MAX(0,10000-F211))*0.25)</f>
        <v/>
      </c>
    </row>
    <row r="213">
      <c r="A213" s="9" t="n"/>
      <c r="F213">
        <f>IF(E213="",F212,F212+E213)</f>
        <v/>
      </c>
      <c r="G213" s="11">
        <f>IF(E213="","",MIN(E213,MAX(0,10000-F212))*0.45+MAX(0,E213-MAX(0,10000-F212))*0.25)</f>
        <v/>
      </c>
    </row>
    <row r="214">
      <c r="A214" s="9" t="n"/>
      <c r="F214">
        <f>IF(E214="",F213,F213+E214)</f>
        <v/>
      </c>
      <c r="G214" s="11">
        <f>IF(E214="","",MIN(E214,MAX(0,10000-F213))*0.45+MAX(0,E214-MAX(0,10000-F213))*0.25)</f>
        <v/>
      </c>
    </row>
    <row r="215">
      <c r="A215" s="9" t="n"/>
      <c r="F215">
        <f>IF(E215="",F214,F214+E215)</f>
        <v/>
      </c>
      <c r="G215" s="11">
        <f>IF(E215="","",MIN(E215,MAX(0,10000-F214))*0.45+MAX(0,E215-MAX(0,10000-F214))*0.25)</f>
        <v/>
      </c>
    </row>
    <row r="216">
      <c r="A216" s="9" t="n"/>
      <c r="F216">
        <f>IF(E216="",F215,F215+E216)</f>
        <v/>
      </c>
      <c r="G216" s="11">
        <f>IF(E216="","",MIN(E216,MAX(0,10000-F215))*0.45+MAX(0,E216-MAX(0,10000-F215))*0.25)</f>
        <v/>
      </c>
    </row>
    <row r="217">
      <c r="A217" s="9" t="n"/>
      <c r="F217">
        <f>IF(E217="",F216,F216+E217)</f>
        <v/>
      </c>
      <c r="G217" s="11">
        <f>IF(E217="","",MIN(E217,MAX(0,10000-F216))*0.45+MAX(0,E217-MAX(0,10000-F216))*0.25)</f>
        <v/>
      </c>
    </row>
    <row r="218">
      <c r="A218" s="9" t="n"/>
      <c r="F218">
        <f>IF(E218="",F217,F217+E218)</f>
        <v/>
      </c>
      <c r="G218" s="11">
        <f>IF(E218="","",MIN(E218,MAX(0,10000-F217))*0.45+MAX(0,E218-MAX(0,10000-F217))*0.25)</f>
        <v/>
      </c>
    </row>
    <row r="219">
      <c r="A219" s="9" t="n"/>
      <c r="F219">
        <f>IF(E219="",F218,F218+E219)</f>
        <v/>
      </c>
      <c r="G219" s="11">
        <f>IF(E219="","",MIN(E219,MAX(0,10000-F218))*0.45+MAX(0,E219-MAX(0,10000-F218))*0.25)</f>
        <v/>
      </c>
    </row>
    <row r="220">
      <c r="A220" s="9" t="n"/>
      <c r="F220">
        <f>IF(E220="",F219,F219+E220)</f>
        <v/>
      </c>
      <c r="G220" s="11">
        <f>IF(E220="","",MIN(E220,MAX(0,10000-F219))*0.45+MAX(0,E220-MAX(0,10000-F219))*0.25)</f>
        <v/>
      </c>
    </row>
    <row r="221">
      <c r="A221" s="9" t="n"/>
      <c r="F221">
        <f>IF(E221="",F220,F220+E221)</f>
        <v/>
      </c>
      <c r="G221" s="11">
        <f>IF(E221="","",MIN(E221,MAX(0,10000-F220))*0.45+MAX(0,E221-MAX(0,10000-F220))*0.25)</f>
        <v/>
      </c>
    </row>
    <row r="222">
      <c r="A222" s="9" t="n"/>
      <c r="F222">
        <f>IF(E222="",F221,F221+E222)</f>
        <v/>
      </c>
      <c r="G222" s="11">
        <f>IF(E222="","",MIN(E222,MAX(0,10000-F221))*0.45+MAX(0,E222-MAX(0,10000-F221))*0.25)</f>
        <v/>
      </c>
    </row>
    <row r="223">
      <c r="A223" s="9" t="n"/>
      <c r="F223">
        <f>IF(E223="",F222,F222+E223)</f>
        <v/>
      </c>
      <c r="G223" s="11">
        <f>IF(E223="","",MIN(E223,MAX(0,10000-F222))*0.45+MAX(0,E223-MAX(0,10000-F222))*0.25)</f>
        <v/>
      </c>
    </row>
    <row r="224">
      <c r="A224" s="9" t="n"/>
      <c r="F224">
        <f>IF(E224="",F223,F223+E224)</f>
        <v/>
      </c>
      <c r="G224" s="11">
        <f>IF(E224="","",MIN(E224,MAX(0,10000-F223))*0.45+MAX(0,E224-MAX(0,10000-F223))*0.25)</f>
        <v/>
      </c>
    </row>
    <row r="225">
      <c r="A225" s="9" t="n"/>
      <c r="F225">
        <f>IF(E225="",F224,F224+E225)</f>
        <v/>
      </c>
      <c r="G225" s="11">
        <f>IF(E225="","",MIN(E225,MAX(0,10000-F224))*0.45+MAX(0,E225-MAX(0,10000-F224))*0.25)</f>
        <v/>
      </c>
    </row>
    <row r="226">
      <c r="A226" s="9" t="n"/>
      <c r="F226">
        <f>IF(E226="",F225,F225+E226)</f>
        <v/>
      </c>
      <c r="G226" s="11">
        <f>IF(E226="","",MIN(E226,MAX(0,10000-F225))*0.45+MAX(0,E226-MAX(0,10000-F225))*0.25)</f>
        <v/>
      </c>
    </row>
    <row r="227">
      <c r="A227" s="9" t="n"/>
      <c r="F227">
        <f>IF(E227="",F226,F226+E227)</f>
        <v/>
      </c>
      <c r="G227" s="11">
        <f>IF(E227="","",MIN(E227,MAX(0,10000-F226))*0.45+MAX(0,E227-MAX(0,10000-F226))*0.25)</f>
        <v/>
      </c>
    </row>
    <row r="228">
      <c r="A228" s="9" t="n"/>
      <c r="F228">
        <f>IF(E228="",F227,F227+E228)</f>
        <v/>
      </c>
      <c r="G228" s="11">
        <f>IF(E228="","",MIN(E228,MAX(0,10000-F227))*0.45+MAX(0,E228-MAX(0,10000-F227))*0.25)</f>
        <v/>
      </c>
    </row>
    <row r="229">
      <c r="A229" s="9" t="n"/>
      <c r="F229">
        <f>IF(E229="",F228,F228+E229)</f>
        <v/>
      </c>
      <c r="G229" s="11">
        <f>IF(E229="","",MIN(E229,MAX(0,10000-F228))*0.45+MAX(0,E229-MAX(0,10000-F228))*0.25)</f>
        <v/>
      </c>
    </row>
    <row r="230">
      <c r="A230" s="9" t="n"/>
      <c r="F230">
        <f>IF(E230="",F229,F229+E230)</f>
        <v/>
      </c>
      <c r="G230" s="11">
        <f>IF(E230="","",MIN(E230,MAX(0,10000-F229))*0.45+MAX(0,E230-MAX(0,10000-F229))*0.25)</f>
        <v/>
      </c>
    </row>
    <row r="231">
      <c r="A231" s="9" t="n"/>
      <c r="F231">
        <f>IF(E231="",F230,F230+E231)</f>
        <v/>
      </c>
      <c r="G231" s="11">
        <f>IF(E231="","",MIN(E231,MAX(0,10000-F230))*0.45+MAX(0,E231-MAX(0,10000-F230))*0.25)</f>
        <v/>
      </c>
    </row>
    <row r="232">
      <c r="A232" s="9" t="n"/>
      <c r="F232">
        <f>IF(E232="",F231,F231+E232)</f>
        <v/>
      </c>
      <c r="G232" s="11">
        <f>IF(E232="","",MIN(E232,MAX(0,10000-F231))*0.45+MAX(0,E232-MAX(0,10000-F231))*0.25)</f>
        <v/>
      </c>
    </row>
    <row r="233">
      <c r="A233" s="9" t="n"/>
      <c r="F233">
        <f>IF(E233="",F232,F232+E233)</f>
        <v/>
      </c>
      <c r="G233" s="11">
        <f>IF(E233="","",MIN(E233,MAX(0,10000-F232))*0.45+MAX(0,E233-MAX(0,10000-F232))*0.25)</f>
        <v/>
      </c>
    </row>
    <row r="234">
      <c r="A234" s="9" t="n"/>
      <c r="F234">
        <f>IF(E234="",F233,F233+E234)</f>
        <v/>
      </c>
      <c r="G234" s="11">
        <f>IF(E234="","",MIN(E234,MAX(0,10000-F233))*0.45+MAX(0,E234-MAX(0,10000-F233))*0.25)</f>
        <v/>
      </c>
    </row>
    <row r="235">
      <c r="A235" s="9" t="n"/>
      <c r="F235">
        <f>IF(E235="",F234,F234+E235)</f>
        <v/>
      </c>
      <c r="G235" s="11">
        <f>IF(E235="","",MIN(E235,MAX(0,10000-F234))*0.45+MAX(0,E235-MAX(0,10000-F234))*0.25)</f>
        <v/>
      </c>
    </row>
    <row r="236">
      <c r="A236" s="9" t="n"/>
      <c r="F236">
        <f>IF(E236="",F235,F235+E236)</f>
        <v/>
      </c>
      <c r="G236" s="11">
        <f>IF(E236="","",MIN(E236,MAX(0,10000-F235))*0.45+MAX(0,E236-MAX(0,10000-F235))*0.25)</f>
        <v/>
      </c>
    </row>
    <row r="237">
      <c r="A237" s="9" t="n"/>
      <c r="F237">
        <f>IF(E237="",F236,F236+E237)</f>
        <v/>
      </c>
      <c r="G237" s="11">
        <f>IF(E237="","",MIN(E237,MAX(0,10000-F236))*0.45+MAX(0,E237-MAX(0,10000-F236))*0.25)</f>
        <v/>
      </c>
    </row>
    <row r="238">
      <c r="A238" s="9" t="n"/>
      <c r="F238">
        <f>IF(E238="",F237,F237+E238)</f>
        <v/>
      </c>
      <c r="G238" s="11">
        <f>IF(E238="","",MIN(E238,MAX(0,10000-F237))*0.45+MAX(0,E238-MAX(0,10000-F237))*0.25)</f>
        <v/>
      </c>
    </row>
    <row r="239">
      <c r="A239" s="9" t="n"/>
      <c r="F239">
        <f>IF(E239="",F238,F238+E239)</f>
        <v/>
      </c>
      <c r="G239" s="11">
        <f>IF(E239="","",MIN(E239,MAX(0,10000-F238))*0.45+MAX(0,E239-MAX(0,10000-F238))*0.25)</f>
        <v/>
      </c>
    </row>
    <row r="240">
      <c r="A240" s="9" t="n"/>
      <c r="F240">
        <f>IF(E240="",F239,F239+E240)</f>
        <v/>
      </c>
      <c r="G240" s="11">
        <f>IF(E240="","",MIN(E240,MAX(0,10000-F239))*0.45+MAX(0,E240-MAX(0,10000-F239))*0.25)</f>
        <v/>
      </c>
    </row>
    <row r="241">
      <c r="A241" s="9" t="n"/>
      <c r="F241">
        <f>IF(E241="",F240,F240+E241)</f>
        <v/>
      </c>
      <c r="G241" s="11">
        <f>IF(E241="","",MIN(E241,MAX(0,10000-F240))*0.45+MAX(0,E241-MAX(0,10000-F240))*0.25)</f>
        <v/>
      </c>
    </row>
    <row r="242">
      <c r="A242" s="9" t="n"/>
      <c r="F242">
        <f>IF(E242="",F241,F241+E242)</f>
        <v/>
      </c>
      <c r="G242" s="11">
        <f>IF(E242="","",MIN(E242,MAX(0,10000-F241))*0.45+MAX(0,E242-MAX(0,10000-F241))*0.25)</f>
        <v/>
      </c>
    </row>
    <row r="243">
      <c r="A243" s="9" t="n"/>
      <c r="F243">
        <f>IF(E243="",F242,F242+E243)</f>
        <v/>
      </c>
      <c r="G243" s="11">
        <f>IF(E243="","",MIN(E243,MAX(0,10000-F242))*0.45+MAX(0,E243-MAX(0,10000-F242))*0.25)</f>
        <v/>
      </c>
    </row>
    <row r="244">
      <c r="A244" s="9" t="n"/>
      <c r="F244">
        <f>IF(E244="",F243,F243+E244)</f>
        <v/>
      </c>
      <c r="G244" s="11">
        <f>IF(E244="","",MIN(E244,MAX(0,10000-F243))*0.45+MAX(0,E244-MAX(0,10000-F243))*0.25)</f>
        <v/>
      </c>
    </row>
    <row r="245">
      <c r="A245" s="9" t="n"/>
      <c r="F245">
        <f>IF(E245="",F244,F244+E245)</f>
        <v/>
      </c>
      <c r="G245" s="11">
        <f>IF(E245="","",MIN(E245,MAX(0,10000-F244))*0.45+MAX(0,E245-MAX(0,10000-F244))*0.25)</f>
        <v/>
      </c>
    </row>
    <row r="246">
      <c r="A246" s="9" t="n"/>
      <c r="F246">
        <f>IF(E246="",F245,F245+E246)</f>
        <v/>
      </c>
      <c r="G246" s="11">
        <f>IF(E246="","",MIN(E246,MAX(0,10000-F245))*0.45+MAX(0,E246-MAX(0,10000-F245))*0.25)</f>
        <v/>
      </c>
    </row>
    <row r="247">
      <c r="A247" s="9" t="n"/>
      <c r="F247">
        <f>IF(E247="",F246,F246+E247)</f>
        <v/>
      </c>
      <c r="G247" s="11">
        <f>IF(E247="","",MIN(E247,MAX(0,10000-F246))*0.45+MAX(0,E247-MAX(0,10000-F246))*0.25)</f>
        <v/>
      </c>
    </row>
    <row r="248">
      <c r="A248" s="9" t="n"/>
      <c r="F248">
        <f>IF(E248="",F247,F247+E248)</f>
        <v/>
      </c>
      <c r="G248" s="11">
        <f>IF(E248="","",MIN(E248,MAX(0,10000-F247))*0.45+MAX(0,E248-MAX(0,10000-F247))*0.25)</f>
        <v/>
      </c>
    </row>
    <row r="249">
      <c r="A249" s="9" t="n"/>
      <c r="F249">
        <f>IF(E249="",F248,F248+E249)</f>
        <v/>
      </c>
      <c r="G249" s="11">
        <f>IF(E249="","",MIN(E249,MAX(0,10000-F248))*0.45+MAX(0,E249-MAX(0,10000-F248))*0.25)</f>
        <v/>
      </c>
    </row>
    <row r="250">
      <c r="A250" s="9" t="n"/>
      <c r="F250">
        <f>IF(E250="",F249,F249+E250)</f>
        <v/>
      </c>
      <c r="G250" s="11">
        <f>IF(E250="","",MIN(E250,MAX(0,10000-F249))*0.45+MAX(0,E250-MAX(0,10000-F249))*0.25)</f>
        <v/>
      </c>
    </row>
    <row r="251">
      <c r="A251" s="9" t="n"/>
      <c r="F251">
        <f>IF(E251="",F250,F250+E251)</f>
        <v/>
      </c>
      <c r="G251" s="11">
        <f>IF(E251="","",MIN(E251,MAX(0,10000-F250))*0.45+MAX(0,E251-MAX(0,10000-F250))*0.25)</f>
        <v/>
      </c>
    </row>
    <row r="252">
      <c r="A252" s="9" t="n"/>
      <c r="F252">
        <f>IF(E252="",F251,F251+E252)</f>
        <v/>
      </c>
      <c r="G252" s="11">
        <f>IF(E252="","",MIN(E252,MAX(0,10000-F251))*0.45+MAX(0,E252-MAX(0,10000-F251))*0.25)</f>
        <v/>
      </c>
    </row>
    <row r="253">
      <c r="A253" s="9" t="n"/>
      <c r="F253">
        <f>IF(E253="",F252,F252+E253)</f>
        <v/>
      </c>
      <c r="G253" s="11">
        <f>IF(E253="","",MIN(E253,MAX(0,10000-F252))*0.45+MAX(0,E253-MAX(0,10000-F252))*0.25)</f>
        <v/>
      </c>
    </row>
    <row r="254">
      <c r="A254" s="9" t="n"/>
      <c r="F254">
        <f>IF(E254="",F253,F253+E254)</f>
        <v/>
      </c>
      <c r="G254" s="11">
        <f>IF(E254="","",MIN(E254,MAX(0,10000-F253))*0.45+MAX(0,E254-MAX(0,10000-F253))*0.25)</f>
        <v/>
      </c>
    </row>
    <row r="255">
      <c r="A255" s="9" t="n"/>
      <c r="F255">
        <f>IF(E255="",F254,F254+E255)</f>
        <v/>
      </c>
      <c r="G255" s="11">
        <f>IF(E255="","",MIN(E255,MAX(0,10000-F254))*0.45+MAX(0,E255-MAX(0,10000-F254))*0.25)</f>
        <v/>
      </c>
    </row>
    <row r="256">
      <c r="A256" s="9" t="n"/>
      <c r="F256">
        <f>IF(E256="",F255,F255+E256)</f>
        <v/>
      </c>
      <c r="G256" s="11">
        <f>IF(E256="","",MIN(E256,MAX(0,10000-F255))*0.45+MAX(0,E256-MAX(0,10000-F255))*0.25)</f>
        <v/>
      </c>
    </row>
    <row r="257">
      <c r="A257" s="9" t="n"/>
      <c r="F257">
        <f>IF(E257="",F256,F256+E257)</f>
        <v/>
      </c>
      <c r="G257" s="11">
        <f>IF(E257="","",MIN(E257,MAX(0,10000-F256))*0.45+MAX(0,E257-MAX(0,10000-F256))*0.25)</f>
        <v/>
      </c>
    </row>
    <row r="258">
      <c r="A258" s="9" t="n"/>
      <c r="F258">
        <f>IF(E258="",F257,F257+E258)</f>
        <v/>
      </c>
      <c r="G258" s="11">
        <f>IF(E258="","",MIN(E258,MAX(0,10000-F257))*0.45+MAX(0,E258-MAX(0,10000-F257))*0.25)</f>
        <v/>
      </c>
    </row>
    <row r="259">
      <c r="A259" s="9" t="n"/>
      <c r="F259">
        <f>IF(E259="",F258,F258+E259)</f>
        <v/>
      </c>
      <c r="G259" s="11">
        <f>IF(E259="","",MIN(E259,MAX(0,10000-F258))*0.45+MAX(0,E259-MAX(0,10000-F258))*0.25)</f>
        <v/>
      </c>
    </row>
    <row r="260">
      <c r="A260" s="9" t="n"/>
      <c r="F260">
        <f>IF(E260="",F259,F259+E260)</f>
        <v/>
      </c>
      <c r="G260" s="11">
        <f>IF(E260="","",MIN(E260,MAX(0,10000-F259))*0.45+MAX(0,E260-MAX(0,10000-F259))*0.25)</f>
        <v/>
      </c>
    </row>
    <row r="261">
      <c r="A261" s="9" t="n"/>
      <c r="F261">
        <f>IF(E261="",F260,F260+E261)</f>
        <v/>
      </c>
      <c r="G261" s="11">
        <f>IF(E261="","",MIN(E261,MAX(0,10000-F260))*0.45+MAX(0,E261-MAX(0,10000-F260))*0.25)</f>
        <v/>
      </c>
    </row>
    <row r="262">
      <c r="A262" s="9" t="n"/>
      <c r="F262">
        <f>IF(E262="",F261,F261+E262)</f>
        <v/>
      </c>
      <c r="G262" s="11">
        <f>IF(E262="","",MIN(E262,MAX(0,10000-F261))*0.45+MAX(0,E262-MAX(0,10000-F261))*0.25)</f>
        <v/>
      </c>
    </row>
    <row r="263">
      <c r="A263" s="9" t="n"/>
      <c r="F263">
        <f>IF(E263="",F262,F262+E263)</f>
        <v/>
      </c>
      <c r="G263" s="11">
        <f>IF(E263="","",MIN(E263,MAX(0,10000-F262))*0.45+MAX(0,E263-MAX(0,10000-F262))*0.25)</f>
        <v/>
      </c>
    </row>
    <row r="264">
      <c r="A264" s="9" t="n"/>
      <c r="F264">
        <f>IF(E264="",F263,F263+E264)</f>
        <v/>
      </c>
      <c r="G264" s="11">
        <f>IF(E264="","",MIN(E264,MAX(0,10000-F263))*0.45+MAX(0,E264-MAX(0,10000-F263))*0.25)</f>
        <v/>
      </c>
    </row>
    <row r="265">
      <c r="A265" s="9" t="n"/>
      <c r="F265">
        <f>IF(E265="",F264,F264+E265)</f>
        <v/>
      </c>
      <c r="G265" s="11">
        <f>IF(E265="","",MIN(E265,MAX(0,10000-F264))*0.45+MAX(0,E265-MAX(0,10000-F264))*0.25)</f>
        <v/>
      </c>
    </row>
    <row r="266">
      <c r="A266" s="9" t="n"/>
      <c r="F266">
        <f>IF(E266="",F265,F265+E266)</f>
        <v/>
      </c>
      <c r="G266" s="11">
        <f>IF(E266="","",MIN(E266,MAX(0,10000-F265))*0.45+MAX(0,E266-MAX(0,10000-F265))*0.25)</f>
        <v/>
      </c>
    </row>
    <row r="267">
      <c r="A267" s="9" t="n"/>
      <c r="F267">
        <f>IF(E267="",F266,F266+E267)</f>
        <v/>
      </c>
      <c r="G267" s="11">
        <f>IF(E267="","",MIN(E267,MAX(0,10000-F266))*0.45+MAX(0,E267-MAX(0,10000-F266))*0.25)</f>
        <v/>
      </c>
    </row>
    <row r="268">
      <c r="A268" s="9" t="n"/>
      <c r="F268">
        <f>IF(E268="",F267,F267+E268)</f>
        <v/>
      </c>
      <c r="G268" s="11">
        <f>IF(E268="","",MIN(E268,MAX(0,10000-F267))*0.45+MAX(0,E268-MAX(0,10000-F267))*0.25)</f>
        <v/>
      </c>
    </row>
    <row r="269">
      <c r="A269" s="9" t="n"/>
      <c r="F269">
        <f>IF(E269="",F268,F268+E269)</f>
        <v/>
      </c>
      <c r="G269" s="11">
        <f>IF(E269="","",MIN(E269,MAX(0,10000-F268))*0.45+MAX(0,E269-MAX(0,10000-F268))*0.25)</f>
        <v/>
      </c>
    </row>
    <row r="270">
      <c r="A270" s="9" t="n"/>
      <c r="F270">
        <f>IF(E270="",F269,F269+E270)</f>
        <v/>
      </c>
      <c r="G270" s="11">
        <f>IF(E270="","",MIN(E270,MAX(0,10000-F269))*0.45+MAX(0,E270-MAX(0,10000-F269))*0.25)</f>
        <v/>
      </c>
    </row>
    <row r="271">
      <c r="A271" s="9" t="n"/>
      <c r="F271">
        <f>IF(E271="",F270,F270+E271)</f>
        <v/>
      </c>
      <c r="G271" s="11">
        <f>IF(E271="","",MIN(E271,MAX(0,10000-F270))*0.45+MAX(0,E271-MAX(0,10000-F270))*0.25)</f>
        <v/>
      </c>
    </row>
    <row r="272">
      <c r="A272" s="9" t="n"/>
      <c r="F272">
        <f>IF(E272="",F271,F271+E272)</f>
        <v/>
      </c>
      <c r="G272" s="11">
        <f>IF(E272="","",MIN(E272,MAX(0,10000-F271))*0.45+MAX(0,E272-MAX(0,10000-F271))*0.25)</f>
        <v/>
      </c>
    </row>
    <row r="273">
      <c r="A273" s="9" t="n"/>
      <c r="F273">
        <f>IF(E273="",F272,F272+E273)</f>
        <v/>
      </c>
      <c r="G273" s="11">
        <f>IF(E273="","",MIN(E273,MAX(0,10000-F272))*0.45+MAX(0,E273-MAX(0,10000-F272))*0.25)</f>
        <v/>
      </c>
    </row>
    <row r="274">
      <c r="A274" s="9" t="n"/>
      <c r="F274">
        <f>IF(E274="",F273,F273+E274)</f>
        <v/>
      </c>
      <c r="G274" s="11">
        <f>IF(E274="","",MIN(E274,MAX(0,10000-F273))*0.45+MAX(0,E274-MAX(0,10000-F273))*0.25)</f>
        <v/>
      </c>
    </row>
    <row r="275">
      <c r="A275" s="9" t="n"/>
      <c r="F275">
        <f>IF(E275="",F274,F274+E275)</f>
        <v/>
      </c>
      <c r="G275" s="11">
        <f>IF(E275="","",MIN(E275,MAX(0,10000-F274))*0.45+MAX(0,E275-MAX(0,10000-F274))*0.25)</f>
        <v/>
      </c>
    </row>
    <row r="276">
      <c r="A276" s="9" t="n"/>
      <c r="F276">
        <f>IF(E276="",F275,F275+E276)</f>
        <v/>
      </c>
      <c r="G276" s="11">
        <f>IF(E276="","",MIN(E276,MAX(0,10000-F275))*0.45+MAX(0,E276-MAX(0,10000-F275))*0.25)</f>
        <v/>
      </c>
    </row>
    <row r="277">
      <c r="A277" s="9" t="n"/>
      <c r="F277">
        <f>IF(E277="",F276,F276+E277)</f>
        <v/>
      </c>
      <c r="G277" s="11">
        <f>IF(E277="","",MIN(E277,MAX(0,10000-F276))*0.45+MAX(0,E277-MAX(0,10000-F276))*0.25)</f>
        <v/>
      </c>
    </row>
    <row r="278">
      <c r="A278" s="9" t="n"/>
      <c r="F278">
        <f>IF(E278="",F277,F277+E278)</f>
        <v/>
      </c>
      <c r="G278" s="11">
        <f>IF(E278="","",MIN(E278,MAX(0,10000-F277))*0.45+MAX(0,E278-MAX(0,10000-F277))*0.25)</f>
        <v/>
      </c>
    </row>
    <row r="279">
      <c r="A279" s="9" t="n"/>
      <c r="F279">
        <f>IF(E279="",F278,F278+E279)</f>
        <v/>
      </c>
      <c r="G279" s="11">
        <f>IF(E279="","",MIN(E279,MAX(0,10000-F278))*0.45+MAX(0,E279-MAX(0,10000-F278))*0.25)</f>
        <v/>
      </c>
    </row>
    <row r="280">
      <c r="A280" s="9" t="n"/>
      <c r="F280">
        <f>IF(E280="",F279,F279+E280)</f>
        <v/>
      </c>
      <c r="G280" s="11">
        <f>IF(E280="","",MIN(E280,MAX(0,10000-F279))*0.45+MAX(0,E280-MAX(0,10000-F279))*0.25)</f>
        <v/>
      </c>
    </row>
    <row r="281">
      <c r="A281" s="9" t="n"/>
      <c r="F281">
        <f>IF(E281="",F280,F280+E281)</f>
        <v/>
      </c>
      <c r="G281" s="11">
        <f>IF(E281="","",MIN(E281,MAX(0,10000-F280))*0.45+MAX(0,E281-MAX(0,10000-F280))*0.25)</f>
        <v/>
      </c>
    </row>
    <row r="282">
      <c r="A282" s="9" t="n"/>
      <c r="F282">
        <f>IF(E282="",F281,F281+E282)</f>
        <v/>
      </c>
      <c r="G282" s="11">
        <f>IF(E282="","",MIN(E282,MAX(0,10000-F281))*0.45+MAX(0,E282-MAX(0,10000-F281))*0.25)</f>
        <v/>
      </c>
    </row>
    <row r="283">
      <c r="A283" s="9" t="n"/>
      <c r="F283">
        <f>IF(E283="",F282,F282+E283)</f>
        <v/>
      </c>
      <c r="G283" s="11">
        <f>IF(E283="","",MIN(E283,MAX(0,10000-F282))*0.45+MAX(0,E283-MAX(0,10000-F282))*0.25)</f>
        <v/>
      </c>
    </row>
    <row r="284">
      <c r="A284" s="9" t="n"/>
      <c r="F284">
        <f>IF(E284="",F283,F283+E284)</f>
        <v/>
      </c>
      <c r="G284" s="11">
        <f>IF(E284="","",MIN(E284,MAX(0,10000-F283))*0.45+MAX(0,E284-MAX(0,10000-F283))*0.25)</f>
        <v/>
      </c>
    </row>
    <row r="285">
      <c r="A285" s="9" t="n"/>
      <c r="F285">
        <f>IF(E285="",F284,F284+E285)</f>
        <v/>
      </c>
      <c r="G285" s="11">
        <f>IF(E285="","",MIN(E285,MAX(0,10000-F284))*0.45+MAX(0,E285-MAX(0,10000-F284))*0.25)</f>
        <v/>
      </c>
    </row>
    <row r="286">
      <c r="A286" s="9" t="n"/>
      <c r="F286">
        <f>IF(E286="",F285,F285+E286)</f>
        <v/>
      </c>
      <c r="G286" s="11">
        <f>IF(E286="","",MIN(E286,MAX(0,10000-F285))*0.45+MAX(0,E286-MAX(0,10000-F285))*0.25)</f>
        <v/>
      </c>
    </row>
    <row r="287">
      <c r="A287" s="9" t="n"/>
      <c r="F287">
        <f>IF(E287="",F286,F286+E287)</f>
        <v/>
      </c>
      <c r="G287" s="11">
        <f>IF(E287="","",MIN(E287,MAX(0,10000-F286))*0.45+MAX(0,E287-MAX(0,10000-F286))*0.25)</f>
        <v/>
      </c>
    </row>
    <row r="288">
      <c r="A288" s="9" t="n"/>
      <c r="F288">
        <f>IF(E288="",F287,F287+E288)</f>
        <v/>
      </c>
      <c r="G288" s="11">
        <f>IF(E288="","",MIN(E288,MAX(0,10000-F287))*0.45+MAX(0,E288-MAX(0,10000-F287))*0.25)</f>
        <v/>
      </c>
    </row>
    <row r="289">
      <c r="A289" s="9" t="n"/>
      <c r="F289">
        <f>IF(E289="",F288,F288+E289)</f>
        <v/>
      </c>
      <c r="G289" s="11">
        <f>IF(E289="","",MIN(E289,MAX(0,10000-F288))*0.45+MAX(0,E289-MAX(0,10000-F288))*0.25)</f>
        <v/>
      </c>
    </row>
    <row r="290">
      <c r="A290" s="9" t="n"/>
      <c r="F290">
        <f>IF(E290="",F289,F289+E290)</f>
        <v/>
      </c>
      <c r="G290" s="11">
        <f>IF(E290="","",MIN(E290,MAX(0,10000-F289))*0.45+MAX(0,E290-MAX(0,10000-F289))*0.25)</f>
        <v/>
      </c>
    </row>
    <row r="291">
      <c r="A291" s="9" t="n"/>
      <c r="F291">
        <f>IF(E291="",F290,F290+E291)</f>
        <v/>
      </c>
      <c r="G291" s="11">
        <f>IF(E291="","",MIN(E291,MAX(0,10000-F290))*0.45+MAX(0,E291-MAX(0,10000-F290))*0.25)</f>
        <v/>
      </c>
    </row>
    <row r="292">
      <c r="A292" s="9" t="n"/>
      <c r="F292">
        <f>IF(E292="",F291,F291+E292)</f>
        <v/>
      </c>
      <c r="G292" s="11">
        <f>IF(E292="","",MIN(E292,MAX(0,10000-F291))*0.45+MAX(0,E292-MAX(0,10000-F291))*0.25)</f>
        <v/>
      </c>
    </row>
    <row r="293">
      <c r="A293" s="9" t="n"/>
      <c r="F293">
        <f>IF(E293="",F292,F292+E293)</f>
        <v/>
      </c>
      <c r="G293" s="11">
        <f>IF(E293="","",MIN(E293,MAX(0,10000-F292))*0.45+MAX(0,E293-MAX(0,10000-F292))*0.25)</f>
        <v/>
      </c>
    </row>
    <row r="294">
      <c r="A294" s="9" t="n"/>
      <c r="F294">
        <f>IF(E294="",F293,F293+E294)</f>
        <v/>
      </c>
      <c r="G294" s="11">
        <f>IF(E294="","",MIN(E294,MAX(0,10000-F293))*0.45+MAX(0,E294-MAX(0,10000-F293))*0.25)</f>
        <v/>
      </c>
    </row>
    <row r="295">
      <c r="A295" s="9" t="n"/>
      <c r="F295">
        <f>IF(E295="",F294,F294+E295)</f>
        <v/>
      </c>
      <c r="G295" s="11">
        <f>IF(E295="","",MIN(E295,MAX(0,10000-F294))*0.45+MAX(0,E295-MAX(0,10000-F294))*0.25)</f>
        <v/>
      </c>
    </row>
    <row r="296">
      <c r="A296" s="9" t="n"/>
      <c r="F296">
        <f>IF(E296="",F295,F295+E296)</f>
        <v/>
      </c>
      <c r="G296" s="11">
        <f>IF(E296="","",MIN(E296,MAX(0,10000-F295))*0.45+MAX(0,E296-MAX(0,10000-F295))*0.25)</f>
        <v/>
      </c>
    </row>
    <row r="297">
      <c r="A297" s="9" t="n"/>
      <c r="F297">
        <f>IF(E297="",F296,F296+E297)</f>
        <v/>
      </c>
      <c r="G297" s="11">
        <f>IF(E297="","",MIN(E297,MAX(0,10000-F296))*0.45+MAX(0,E297-MAX(0,10000-F296))*0.25)</f>
        <v/>
      </c>
    </row>
    <row r="298">
      <c r="A298" s="9" t="n"/>
      <c r="F298">
        <f>IF(E298="",F297,F297+E298)</f>
        <v/>
      </c>
      <c r="G298" s="11">
        <f>IF(E298="","",MIN(E298,MAX(0,10000-F297))*0.45+MAX(0,E298-MAX(0,10000-F297))*0.25)</f>
        <v/>
      </c>
    </row>
    <row r="299">
      <c r="A299" s="9" t="n"/>
      <c r="F299">
        <f>IF(E299="",F298,F298+E299)</f>
        <v/>
      </c>
      <c r="G299" s="11">
        <f>IF(E299="","",MIN(E299,MAX(0,10000-F298))*0.45+MAX(0,E299-MAX(0,10000-F298))*0.25)</f>
        <v/>
      </c>
    </row>
    <row r="300">
      <c r="A300" s="9" t="n"/>
      <c r="F300">
        <f>IF(E300="",F299,F299+E300)</f>
        <v/>
      </c>
      <c r="G300" s="11">
        <f>IF(E300="","",MIN(E300,MAX(0,10000-F299))*0.45+MAX(0,E300-MAX(0,10000-F299))*0.25)</f>
        <v/>
      </c>
    </row>
    <row r="301">
      <c r="A301" s="9" t="n"/>
      <c r="F301">
        <f>IF(E301="",F300,F300+E301)</f>
        <v/>
      </c>
      <c r="G301" s="11">
        <f>IF(E301="","",MIN(E301,MAX(0,10000-F300))*0.45+MAX(0,E301-MAX(0,10000-F300))*0.25)</f>
        <v/>
      </c>
    </row>
    <row r="302">
      <c r="A302" s="9" t="n"/>
      <c r="F302">
        <f>IF(E302="",F301,F301+E302)</f>
        <v/>
      </c>
      <c r="G302" s="11">
        <f>IF(E302="","",MIN(E302,MAX(0,10000-F301))*0.45+MAX(0,E302-MAX(0,10000-F301))*0.25)</f>
        <v/>
      </c>
    </row>
    <row r="303">
      <c r="A303" s="9" t="n"/>
      <c r="F303">
        <f>IF(E303="",F302,F302+E303)</f>
        <v/>
      </c>
      <c r="G303" s="11">
        <f>IF(E303="","",MIN(E303,MAX(0,10000-F302))*0.45+MAX(0,E303-MAX(0,10000-F302))*0.25)</f>
        <v/>
      </c>
    </row>
    <row r="304">
      <c r="A304" s="9" t="n"/>
      <c r="F304">
        <f>IF(E304="",F303,F303+E304)</f>
        <v/>
      </c>
      <c r="G304" s="11">
        <f>IF(E304="","",MIN(E304,MAX(0,10000-F303))*0.45+MAX(0,E304-MAX(0,10000-F303))*0.25)</f>
        <v/>
      </c>
    </row>
    <row r="305">
      <c r="A305" s="9" t="n"/>
      <c r="F305">
        <f>IF(E305="",F304,F304+E305)</f>
        <v/>
      </c>
      <c r="G305" s="11">
        <f>IF(E305="","",MIN(E305,MAX(0,10000-F304))*0.45+MAX(0,E305-MAX(0,10000-F304))*0.25)</f>
        <v/>
      </c>
    </row>
    <row r="306">
      <c r="A306" s="9" t="n"/>
      <c r="F306">
        <f>IF(E306="",F305,F305+E306)</f>
        <v/>
      </c>
      <c r="G306" s="11">
        <f>IF(E306="","",MIN(E306,MAX(0,10000-F305))*0.45+MAX(0,E306-MAX(0,10000-F305))*0.25)</f>
        <v/>
      </c>
    </row>
    <row r="307">
      <c r="A307" s="9" t="n"/>
      <c r="F307">
        <f>IF(E307="",F306,F306+E307)</f>
        <v/>
      </c>
      <c r="G307" s="11">
        <f>IF(E307="","",MIN(E307,MAX(0,10000-F306))*0.45+MAX(0,E307-MAX(0,10000-F306))*0.25)</f>
        <v/>
      </c>
    </row>
    <row r="308">
      <c r="A308" s="9" t="n"/>
      <c r="F308">
        <f>IF(E308="",F307,F307+E308)</f>
        <v/>
      </c>
      <c r="G308" s="11">
        <f>IF(E308="","",MIN(E308,MAX(0,10000-F307))*0.45+MAX(0,E308-MAX(0,10000-F307))*0.25)</f>
        <v/>
      </c>
    </row>
    <row r="309">
      <c r="A309" s="9" t="n"/>
      <c r="F309">
        <f>IF(E309="",F308,F308+E309)</f>
        <v/>
      </c>
      <c r="G309" s="11">
        <f>IF(E309="","",MIN(E309,MAX(0,10000-F308))*0.45+MAX(0,E309-MAX(0,10000-F308))*0.25)</f>
        <v/>
      </c>
    </row>
    <row r="310">
      <c r="A310" s="9" t="n"/>
      <c r="F310">
        <f>IF(E310="",F309,F309+E310)</f>
        <v/>
      </c>
      <c r="G310" s="11">
        <f>IF(E310="","",MIN(E310,MAX(0,10000-F309))*0.45+MAX(0,E310-MAX(0,10000-F309))*0.25)</f>
        <v/>
      </c>
    </row>
    <row r="311">
      <c r="A311" s="9" t="n"/>
      <c r="F311">
        <f>IF(E311="",F310,F310+E311)</f>
        <v/>
      </c>
      <c r="G311" s="11">
        <f>IF(E311="","",MIN(E311,MAX(0,10000-F310))*0.45+MAX(0,E311-MAX(0,10000-F310))*0.25)</f>
        <v/>
      </c>
    </row>
    <row r="312">
      <c r="A312" s="9" t="n"/>
      <c r="F312">
        <f>IF(E312="",F311,F311+E312)</f>
        <v/>
      </c>
      <c r="G312" s="11">
        <f>IF(E312="","",MIN(E312,MAX(0,10000-F311))*0.45+MAX(0,E312-MAX(0,10000-F311))*0.25)</f>
        <v/>
      </c>
    </row>
    <row r="313">
      <c r="A313" s="9" t="n"/>
      <c r="F313">
        <f>IF(E313="",F312,F312+E313)</f>
        <v/>
      </c>
      <c r="G313" s="11">
        <f>IF(E313="","",MIN(E313,MAX(0,10000-F312))*0.45+MAX(0,E313-MAX(0,10000-F312))*0.25)</f>
        <v/>
      </c>
    </row>
    <row r="314">
      <c r="A314" s="9" t="n"/>
      <c r="F314">
        <f>IF(E314="",F313,F313+E314)</f>
        <v/>
      </c>
      <c r="G314" s="11">
        <f>IF(E314="","",MIN(E314,MAX(0,10000-F313))*0.45+MAX(0,E314-MAX(0,10000-F313))*0.25)</f>
        <v/>
      </c>
    </row>
    <row r="315">
      <c r="A315" s="9" t="n"/>
      <c r="F315">
        <f>IF(E315="",F314,F314+E315)</f>
        <v/>
      </c>
      <c r="G315" s="11">
        <f>IF(E315="","",MIN(E315,MAX(0,10000-F314))*0.45+MAX(0,E315-MAX(0,10000-F314))*0.25)</f>
        <v/>
      </c>
    </row>
    <row r="316">
      <c r="A316" s="9" t="n"/>
      <c r="F316">
        <f>IF(E316="",F315,F315+E316)</f>
        <v/>
      </c>
      <c r="G316" s="11">
        <f>IF(E316="","",MIN(E316,MAX(0,10000-F315))*0.45+MAX(0,E316-MAX(0,10000-F315))*0.25)</f>
        <v/>
      </c>
    </row>
    <row r="317">
      <c r="A317" s="9" t="n"/>
      <c r="F317">
        <f>IF(E317="",F316,F316+E317)</f>
        <v/>
      </c>
      <c r="G317" s="11">
        <f>IF(E317="","",MIN(E317,MAX(0,10000-F316))*0.45+MAX(0,E317-MAX(0,10000-F316))*0.25)</f>
        <v/>
      </c>
    </row>
    <row r="318">
      <c r="A318" s="9" t="n"/>
      <c r="F318">
        <f>IF(E318="",F317,F317+E318)</f>
        <v/>
      </c>
      <c r="G318" s="11">
        <f>IF(E318="","",MIN(E318,MAX(0,10000-F317))*0.45+MAX(0,E318-MAX(0,10000-F317))*0.25)</f>
        <v/>
      </c>
    </row>
    <row r="319">
      <c r="A319" s="9" t="n"/>
      <c r="F319">
        <f>IF(E319="",F318,F318+E319)</f>
        <v/>
      </c>
      <c r="G319" s="11">
        <f>IF(E319="","",MIN(E319,MAX(0,10000-F318))*0.45+MAX(0,E319-MAX(0,10000-F318))*0.25)</f>
        <v/>
      </c>
    </row>
    <row r="320">
      <c r="A320" s="9" t="n"/>
      <c r="F320">
        <f>IF(E320="",F319,F319+E320)</f>
        <v/>
      </c>
      <c r="G320" s="11">
        <f>IF(E320="","",MIN(E320,MAX(0,10000-F319))*0.45+MAX(0,E320-MAX(0,10000-F319))*0.25)</f>
        <v/>
      </c>
    </row>
    <row r="321">
      <c r="A321" s="9" t="n"/>
      <c r="F321">
        <f>IF(E321="",F320,F320+E321)</f>
        <v/>
      </c>
      <c r="G321" s="11">
        <f>IF(E321="","",MIN(E321,MAX(0,10000-F320))*0.45+MAX(0,E321-MAX(0,10000-F320))*0.25)</f>
        <v/>
      </c>
    </row>
    <row r="322">
      <c r="A322" s="9" t="n"/>
      <c r="F322">
        <f>IF(E322="",F321,F321+E322)</f>
        <v/>
      </c>
      <c r="G322" s="11">
        <f>IF(E322="","",MIN(E322,MAX(0,10000-F321))*0.45+MAX(0,E322-MAX(0,10000-F321))*0.25)</f>
        <v/>
      </c>
    </row>
    <row r="323">
      <c r="A323" s="9" t="n"/>
      <c r="F323">
        <f>IF(E323="",F322,F322+E323)</f>
        <v/>
      </c>
      <c r="G323" s="11">
        <f>IF(E323="","",MIN(E323,MAX(0,10000-F322))*0.45+MAX(0,E323-MAX(0,10000-F322))*0.25)</f>
        <v/>
      </c>
    </row>
    <row r="324">
      <c r="A324" s="9" t="n"/>
      <c r="F324">
        <f>IF(E324="",F323,F323+E324)</f>
        <v/>
      </c>
      <c r="G324" s="11">
        <f>IF(E324="","",MIN(E324,MAX(0,10000-F323))*0.45+MAX(0,E324-MAX(0,10000-F323))*0.25)</f>
        <v/>
      </c>
    </row>
    <row r="325">
      <c r="A325" s="9" t="n"/>
      <c r="F325">
        <f>IF(E325="",F324,F324+E325)</f>
        <v/>
      </c>
      <c r="G325" s="11">
        <f>IF(E325="","",MIN(E325,MAX(0,10000-F324))*0.45+MAX(0,E325-MAX(0,10000-F324))*0.25)</f>
        <v/>
      </c>
    </row>
    <row r="326">
      <c r="A326" s="9" t="n"/>
      <c r="F326">
        <f>IF(E326="",F325,F325+E326)</f>
        <v/>
      </c>
      <c r="G326" s="11">
        <f>IF(E326="","",MIN(E326,MAX(0,10000-F325))*0.45+MAX(0,E326-MAX(0,10000-F325))*0.25)</f>
        <v/>
      </c>
    </row>
    <row r="327">
      <c r="A327" s="9" t="n"/>
      <c r="F327">
        <f>IF(E327="",F326,F326+E327)</f>
        <v/>
      </c>
      <c r="G327" s="11">
        <f>IF(E327="","",MIN(E327,MAX(0,10000-F326))*0.45+MAX(0,E327-MAX(0,10000-F326))*0.25)</f>
        <v/>
      </c>
    </row>
    <row r="328">
      <c r="A328" s="9" t="n"/>
      <c r="F328">
        <f>IF(E328="",F327,F327+E328)</f>
        <v/>
      </c>
      <c r="G328" s="11">
        <f>IF(E328="","",MIN(E328,MAX(0,10000-F327))*0.45+MAX(0,E328-MAX(0,10000-F327))*0.25)</f>
        <v/>
      </c>
    </row>
    <row r="329">
      <c r="A329" s="9" t="n"/>
      <c r="F329">
        <f>IF(E329="",F328,F328+E329)</f>
        <v/>
      </c>
      <c r="G329" s="11">
        <f>IF(E329="","",MIN(E329,MAX(0,10000-F328))*0.45+MAX(0,E329-MAX(0,10000-F328))*0.25)</f>
        <v/>
      </c>
    </row>
    <row r="330">
      <c r="A330" s="9" t="n"/>
      <c r="F330">
        <f>IF(E330="",F329,F329+E330)</f>
        <v/>
      </c>
      <c r="G330" s="11">
        <f>IF(E330="","",MIN(E330,MAX(0,10000-F329))*0.45+MAX(0,E330-MAX(0,10000-F329))*0.25)</f>
        <v/>
      </c>
    </row>
    <row r="331">
      <c r="A331" s="9" t="n"/>
      <c r="F331">
        <f>IF(E331="",F330,F330+E331)</f>
        <v/>
      </c>
      <c r="G331" s="11">
        <f>IF(E331="","",MIN(E331,MAX(0,10000-F330))*0.45+MAX(0,E331-MAX(0,10000-F330))*0.25)</f>
        <v/>
      </c>
    </row>
    <row r="332">
      <c r="A332" s="9" t="n"/>
      <c r="F332">
        <f>IF(E332="",F331,F331+E332)</f>
        <v/>
      </c>
      <c r="G332" s="11">
        <f>IF(E332="","",MIN(E332,MAX(0,10000-F331))*0.45+MAX(0,E332-MAX(0,10000-F331))*0.25)</f>
        <v/>
      </c>
    </row>
    <row r="333">
      <c r="A333" s="9" t="n"/>
      <c r="F333">
        <f>IF(E333="",F332,F332+E333)</f>
        <v/>
      </c>
      <c r="G333" s="11">
        <f>IF(E333="","",MIN(E333,MAX(0,10000-F332))*0.45+MAX(0,E333-MAX(0,10000-F332))*0.25)</f>
        <v/>
      </c>
    </row>
    <row r="334">
      <c r="A334" s="9" t="n"/>
      <c r="F334">
        <f>IF(E334="",F333,F333+E334)</f>
        <v/>
      </c>
      <c r="G334" s="11">
        <f>IF(E334="","",MIN(E334,MAX(0,10000-F333))*0.45+MAX(0,E334-MAX(0,10000-F333))*0.25)</f>
        <v/>
      </c>
    </row>
    <row r="335">
      <c r="A335" s="9" t="n"/>
      <c r="F335">
        <f>IF(E335="",F334,F334+E335)</f>
        <v/>
      </c>
      <c r="G335" s="11">
        <f>IF(E335="","",MIN(E335,MAX(0,10000-F334))*0.45+MAX(0,E335-MAX(0,10000-F334))*0.25)</f>
        <v/>
      </c>
    </row>
    <row r="336">
      <c r="A336" s="9" t="n"/>
      <c r="F336">
        <f>IF(E336="",F335,F335+E336)</f>
        <v/>
      </c>
      <c r="G336" s="11">
        <f>IF(E336="","",MIN(E336,MAX(0,10000-F335))*0.45+MAX(0,E336-MAX(0,10000-F335))*0.25)</f>
        <v/>
      </c>
    </row>
    <row r="337">
      <c r="A337" s="9" t="n"/>
      <c r="F337">
        <f>IF(E337="",F336,F336+E337)</f>
        <v/>
      </c>
      <c r="G337" s="11">
        <f>IF(E337="","",MIN(E337,MAX(0,10000-F336))*0.45+MAX(0,E337-MAX(0,10000-F336))*0.25)</f>
        <v/>
      </c>
    </row>
    <row r="338">
      <c r="A338" s="9" t="n"/>
      <c r="F338">
        <f>IF(E338="",F337,F337+E338)</f>
        <v/>
      </c>
      <c r="G338" s="11">
        <f>IF(E338="","",MIN(E338,MAX(0,10000-F337))*0.45+MAX(0,E338-MAX(0,10000-F337))*0.25)</f>
        <v/>
      </c>
    </row>
    <row r="339">
      <c r="A339" s="9" t="n"/>
      <c r="F339">
        <f>IF(E339="",F338,F338+E339)</f>
        <v/>
      </c>
      <c r="G339" s="11">
        <f>IF(E339="","",MIN(E339,MAX(0,10000-F338))*0.45+MAX(0,E339-MAX(0,10000-F338))*0.25)</f>
        <v/>
      </c>
    </row>
    <row r="340">
      <c r="A340" s="9" t="n"/>
      <c r="F340">
        <f>IF(E340="",F339,F339+E340)</f>
        <v/>
      </c>
      <c r="G340" s="11">
        <f>IF(E340="","",MIN(E340,MAX(0,10000-F339))*0.45+MAX(0,E340-MAX(0,10000-F339))*0.25)</f>
        <v/>
      </c>
    </row>
    <row r="341">
      <c r="A341" s="9" t="n"/>
      <c r="F341">
        <f>IF(E341="",F340,F340+E341)</f>
        <v/>
      </c>
      <c r="G341" s="11">
        <f>IF(E341="","",MIN(E341,MAX(0,10000-F340))*0.45+MAX(0,E341-MAX(0,10000-F340))*0.25)</f>
        <v/>
      </c>
    </row>
    <row r="342">
      <c r="A342" s="9" t="n"/>
      <c r="F342">
        <f>IF(E342="",F341,F341+E342)</f>
        <v/>
      </c>
      <c r="G342" s="11">
        <f>IF(E342="","",MIN(E342,MAX(0,10000-F341))*0.45+MAX(0,E342-MAX(0,10000-F341))*0.25)</f>
        <v/>
      </c>
    </row>
    <row r="343">
      <c r="A343" s="9" t="n"/>
      <c r="F343">
        <f>IF(E343="",F342,F342+E343)</f>
        <v/>
      </c>
      <c r="G343" s="11">
        <f>IF(E343="","",MIN(E343,MAX(0,10000-F342))*0.45+MAX(0,E343-MAX(0,10000-F342))*0.25)</f>
        <v/>
      </c>
    </row>
    <row r="344">
      <c r="A344" s="9" t="n"/>
      <c r="F344">
        <f>IF(E344="",F343,F343+E344)</f>
        <v/>
      </c>
      <c r="G344" s="11">
        <f>IF(E344="","",MIN(E344,MAX(0,10000-F343))*0.45+MAX(0,E344-MAX(0,10000-F343))*0.25)</f>
        <v/>
      </c>
    </row>
    <row r="345">
      <c r="A345" s="9" t="n"/>
      <c r="F345">
        <f>IF(E345="",F344,F344+E345)</f>
        <v/>
      </c>
      <c r="G345" s="11">
        <f>IF(E345="","",MIN(E345,MAX(0,10000-F344))*0.45+MAX(0,E345-MAX(0,10000-F344))*0.25)</f>
        <v/>
      </c>
    </row>
    <row r="346">
      <c r="A346" s="9" t="n"/>
      <c r="F346">
        <f>IF(E346="",F345,F345+E346)</f>
        <v/>
      </c>
      <c r="G346" s="11">
        <f>IF(E346="","",MIN(E346,MAX(0,10000-F345))*0.45+MAX(0,E346-MAX(0,10000-F345))*0.25)</f>
        <v/>
      </c>
    </row>
    <row r="347">
      <c r="A347" s="9" t="n"/>
      <c r="F347">
        <f>IF(E347="",F346,F346+E347)</f>
        <v/>
      </c>
      <c r="G347" s="11">
        <f>IF(E347="","",MIN(E347,MAX(0,10000-F346))*0.45+MAX(0,E347-MAX(0,10000-F346))*0.25)</f>
        <v/>
      </c>
    </row>
    <row r="348">
      <c r="A348" s="9" t="n"/>
      <c r="F348">
        <f>IF(E348="",F347,F347+E348)</f>
        <v/>
      </c>
      <c r="G348" s="11">
        <f>IF(E348="","",MIN(E348,MAX(0,10000-F347))*0.45+MAX(0,E348-MAX(0,10000-F347))*0.25)</f>
        <v/>
      </c>
    </row>
    <row r="349">
      <c r="A349" s="9" t="n"/>
      <c r="F349">
        <f>IF(E349="",F348,F348+E349)</f>
        <v/>
      </c>
      <c r="G349" s="11">
        <f>IF(E349="","",MIN(E349,MAX(0,10000-F348))*0.45+MAX(0,E349-MAX(0,10000-F348))*0.25)</f>
        <v/>
      </c>
    </row>
    <row r="350">
      <c r="A350" s="9" t="n"/>
      <c r="F350">
        <f>IF(E350="",F349,F349+E350)</f>
        <v/>
      </c>
      <c r="G350" s="11">
        <f>IF(E350="","",MIN(E350,MAX(0,10000-F349))*0.45+MAX(0,E350-MAX(0,10000-F349))*0.25)</f>
        <v/>
      </c>
    </row>
    <row r="351">
      <c r="A351" s="9" t="n"/>
      <c r="F351">
        <f>IF(E351="",F350,F350+E351)</f>
        <v/>
      </c>
      <c r="G351" s="11">
        <f>IF(E351="","",MIN(E351,MAX(0,10000-F350))*0.45+MAX(0,E351-MAX(0,10000-F350))*0.25)</f>
        <v/>
      </c>
    </row>
    <row r="352">
      <c r="A352" s="9" t="n"/>
      <c r="F352">
        <f>IF(E352="",F351,F351+E352)</f>
        <v/>
      </c>
      <c r="G352" s="11">
        <f>IF(E352="","",MIN(E352,MAX(0,10000-F351))*0.45+MAX(0,E352-MAX(0,10000-F351))*0.25)</f>
        <v/>
      </c>
    </row>
    <row r="353">
      <c r="A353" s="9" t="n"/>
      <c r="F353">
        <f>IF(E353="",F352,F352+E353)</f>
        <v/>
      </c>
      <c r="G353" s="11">
        <f>IF(E353="","",MIN(E353,MAX(0,10000-F352))*0.45+MAX(0,E353-MAX(0,10000-F352))*0.25)</f>
        <v/>
      </c>
    </row>
    <row r="354">
      <c r="A354" s="9" t="n"/>
      <c r="F354">
        <f>IF(E354="",F353,F353+E354)</f>
        <v/>
      </c>
      <c r="G354" s="11">
        <f>IF(E354="","",MIN(E354,MAX(0,10000-F353))*0.45+MAX(0,E354-MAX(0,10000-F353))*0.25)</f>
        <v/>
      </c>
    </row>
    <row r="355">
      <c r="A355" s="9" t="n"/>
      <c r="F355">
        <f>IF(E355="",F354,F354+E355)</f>
        <v/>
      </c>
      <c r="G355" s="11">
        <f>IF(E355="","",MIN(E355,MAX(0,10000-F354))*0.45+MAX(0,E355-MAX(0,10000-F354))*0.25)</f>
        <v/>
      </c>
    </row>
    <row r="356">
      <c r="A356" s="9" t="n"/>
      <c r="F356">
        <f>IF(E356="",F355,F355+E356)</f>
        <v/>
      </c>
      <c r="G356" s="11">
        <f>IF(E356="","",MIN(E356,MAX(0,10000-F355))*0.45+MAX(0,E356-MAX(0,10000-F355))*0.25)</f>
        <v/>
      </c>
    </row>
    <row r="357">
      <c r="A357" s="9" t="n"/>
      <c r="F357">
        <f>IF(E357="",F356,F356+E357)</f>
        <v/>
      </c>
      <c r="G357" s="11">
        <f>IF(E357="","",MIN(E357,MAX(0,10000-F356))*0.45+MAX(0,E357-MAX(0,10000-F356))*0.25)</f>
        <v/>
      </c>
    </row>
    <row r="358">
      <c r="A358" s="9" t="n"/>
      <c r="F358">
        <f>IF(E358="",F357,F357+E358)</f>
        <v/>
      </c>
      <c r="G358" s="11">
        <f>IF(E358="","",MIN(E358,MAX(0,10000-F357))*0.45+MAX(0,E358-MAX(0,10000-F357))*0.25)</f>
        <v/>
      </c>
    </row>
    <row r="359">
      <c r="A359" s="9" t="n"/>
      <c r="F359">
        <f>IF(E359="",F358,F358+E359)</f>
        <v/>
      </c>
      <c r="G359" s="11">
        <f>IF(E359="","",MIN(E359,MAX(0,10000-F358))*0.45+MAX(0,E359-MAX(0,10000-F358))*0.25)</f>
        <v/>
      </c>
    </row>
    <row r="360">
      <c r="A360" s="9" t="n"/>
      <c r="F360">
        <f>IF(E360="",F359,F359+E360)</f>
        <v/>
      </c>
      <c r="G360" s="11">
        <f>IF(E360="","",MIN(E360,MAX(0,10000-F359))*0.45+MAX(0,E360-MAX(0,10000-F359))*0.25)</f>
        <v/>
      </c>
    </row>
    <row r="361">
      <c r="A361" s="9" t="n"/>
      <c r="F361">
        <f>IF(E361="",F360,F360+E361)</f>
        <v/>
      </c>
      <c r="G361" s="11">
        <f>IF(E361="","",MIN(E361,MAX(0,10000-F360))*0.45+MAX(0,E361-MAX(0,10000-F360))*0.25)</f>
        <v/>
      </c>
    </row>
    <row r="362">
      <c r="A362" s="9" t="n"/>
      <c r="F362">
        <f>IF(E362="",F361,F361+E362)</f>
        <v/>
      </c>
      <c r="G362" s="11">
        <f>IF(E362="","",MIN(E362,MAX(0,10000-F361))*0.45+MAX(0,E362-MAX(0,10000-F361))*0.25)</f>
        <v/>
      </c>
    </row>
    <row r="363">
      <c r="A363" s="9" t="n"/>
      <c r="F363">
        <f>IF(E363="",F362,F362+E363)</f>
        <v/>
      </c>
      <c r="G363" s="11">
        <f>IF(E363="","",MIN(E363,MAX(0,10000-F362))*0.45+MAX(0,E363-MAX(0,10000-F362))*0.25)</f>
        <v/>
      </c>
    </row>
    <row r="364">
      <c r="A364" s="9" t="n"/>
      <c r="F364">
        <f>IF(E364="",F363,F363+E364)</f>
        <v/>
      </c>
      <c r="G364" s="11">
        <f>IF(E364="","",MIN(E364,MAX(0,10000-F363))*0.45+MAX(0,E364-MAX(0,10000-F363))*0.25)</f>
        <v/>
      </c>
    </row>
    <row r="365">
      <c r="A365" s="9" t="n"/>
      <c r="F365">
        <f>IF(E365="",F364,F364+E365)</f>
        <v/>
      </c>
      <c r="G365" s="11">
        <f>IF(E365="","",MIN(E365,MAX(0,10000-F364))*0.45+MAX(0,E365-MAX(0,10000-F364))*0.25)</f>
        <v/>
      </c>
    </row>
    <row r="366">
      <c r="A366" s="9" t="n"/>
      <c r="F366">
        <f>IF(E366="",F365,F365+E366)</f>
        <v/>
      </c>
      <c r="G366" s="11">
        <f>IF(E366="","",MIN(E366,MAX(0,10000-F365))*0.45+MAX(0,E366-MAX(0,10000-F365))*0.25)</f>
        <v/>
      </c>
    </row>
    <row r="367">
      <c r="A367" s="9" t="n"/>
      <c r="F367">
        <f>IF(E367="",F366,F366+E367)</f>
        <v/>
      </c>
      <c r="G367" s="11">
        <f>IF(E367="","",MIN(E367,MAX(0,10000-F366))*0.45+MAX(0,E367-MAX(0,10000-F366))*0.25)</f>
        <v/>
      </c>
    </row>
    <row r="368">
      <c r="A368" s="9" t="n"/>
      <c r="F368">
        <f>IF(E368="",F367,F367+E368)</f>
        <v/>
      </c>
      <c r="G368" s="11">
        <f>IF(E368="","",MIN(E368,MAX(0,10000-F367))*0.45+MAX(0,E368-MAX(0,10000-F367))*0.25)</f>
        <v/>
      </c>
    </row>
    <row r="369">
      <c r="A369" s="9" t="n"/>
      <c r="F369">
        <f>IF(E369="",F368,F368+E369)</f>
        <v/>
      </c>
      <c r="G369" s="11">
        <f>IF(E369="","",MIN(E369,MAX(0,10000-F368))*0.45+MAX(0,E369-MAX(0,10000-F368))*0.25)</f>
        <v/>
      </c>
    </row>
    <row r="370">
      <c r="A370" s="9" t="n"/>
      <c r="F370">
        <f>IF(E370="",F369,F369+E370)</f>
        <v/>
      </c>
      <c r="G370" s="11">
        <f>IF(E370="","",MIN(E370,MAX(0,10000-F369))*0.45+MAX(0,E370-MAX(0,10000-F369))*0.25)</f>
        <v/>
      </c>
    </row>
    <row r="371">
      <c r="A371" s="9" t="n"/>
      <c r="F371">
        <f>IF(E371="",F370,F370+E371)</f>
        <v/>
      </c>
      <c r="G371" s="11">
        <f>IF(E371="","",MIN(E371,MAX(0,10000-F370))*0.45+MAX(0,E371-MAX(0,10000-F370))*0.25)</f>
        <v/>
      </c>
    </row>
    <row r="372">
      <c r="A372" s="9" t="n"/>
      <c r="F372">
        <f>IF(E372="",F371,F371+E372)</f>
        <v/>
      </c>
      <c r="G372" s="11">
        <f>IF(E372="","",MIN(E372,MAX(0,10000-F371))*0.45+MAX(0,E372-MAX(0,10000-F371))*0.25)</f>
        <v/>
      </c>
    </row>
    <row r="373">
      <c r="A373" s="9" t="n"/>
      <c r="F373">
        <f>IF(E373="",F372,F372+E373)</f>
        <v/>
      </c>
      <c r="G373" s="11">
        <f>IF(E373="","",MIN(E373,MAX(0,10000-F372))*0.45+MAX(0,E373-MAX(0,10000-F372))*0.25)</f>
        <v/>
      </c>
    </row>
    <row r="374">
      <c r="A374" s="9" t="n"/>
      <c r="F374">
        <f>IF(E374="",F373,F373+E374)</f>
        <v/>
      </c>
      <c r="G374" s="11">
        <f>IF(E374="","",MIN(E374,MAX(0,10000-F373))*0.45+MAX(0,E374-MAX(0,10000-F373))*0.25)</f>
        <v/>
      </c>
    </row>
    <row r="375">
      <c r="A375" s="9" t="n"/>
      <c r="F375">
        <f>IF(E375="",F374,F374+E375)</f>
        <v/>
      </c>
      <c r="G375" s="11">
        <f>IF(E375="","",MIN(E375,MAX(0,10000-F374))*0.45+MAX(0,E375-MAX(0,10000-F374))*0.25)</f>
        <v/>
      </c>
    </row>
    <row r="376">
      <c r="A376" s="9" t="n"/>
      <c r="F376">
        <f>IF(E376="",F375,F375+E376)</f>
        <v/>
      </c>
      <c r="G376" s="11">
        <f>IF(E376="","",MIN(E376,MAX(0,10000-F375))*0.45+MAX(0,E376-MAX(0,10000-F375))*0.25)</f>
        <v/>
      </c>
    </row>
    <row r="377">
      <c r="A377" s="9" t="n"/>
      <c r="F377">
        <f>IF(E377="",F376,F376+E377)</f>
        <v/>
      </c>
      <c r="G377" s="11">
        <f>IF(E377="","",MIN(E377,MAX(0,10000-F376))*0.45+MAX(0,E377-MAX(0,10000-F376))*0.25)</f>
        <v/>
      </c>
    </row>
    <row r="378">
      <c r="A378" s="9" t="n"/>
      <c r="F378">
        <f>IF(E378="",F377,F377+E378)</f>
        <v/>
      </c>
      <c r="G378" s="11">
        <f>IF(E378="","",MIN(E378,MAX(0,10000-F377))*0.45+MAX(0,E378-MAX(0,10000-F377))*0.25)</f>
        <v/>
      </c>
    </row>
    <row r="379">
      <c r="A379" s="9" t="n"/>
      <c r="F379">
        <f>IF(E379="",F378,F378+E379)</f>
        <v/>
      </c>
      <c r="G379" s="11">
        <f>IF(E379="","",MIN(E379,MAX(0,10000-F378))*0.45+MAX(0,E379-MAX(0,10000-F378))*0.25)</f>
        <v/>
      </c>
    </row>
    <row r="380">
      <c r="A380" s="9" t="n"/>
      <c r="F380">
        <f>IF(E380="",F379,F379+E380)</f>
        <v/>
      </c>
      <c r="G380" s="11">
        <f>IF(E380="","",MIN(E380,MAX(0,10000-F379))*0.45+MAX(0,E380-MAX(0,10000-F379))*0.25)</f>
        <v/>
      </c>
    </row>
    <row r="381">
      <c r="A381" s="9" t="n"/>
      <c r="F381">
        <f>IF(E381="",F380,F380+E381)</f>
        <v/>
      </c>
      <c r="G381" s="11">
        <f>IF(E381="","",MIN(E381,MAX(0,10000-F380))*0.45+MAX(0,E381-MAX(0,10000-F380))*0.25)</f>
        <v/>
      </c>
    </row>
    <row r="382">
      <c r="A382" s="9" t="n"/>
      <c r="F382">
        <f>IF(E382="",F381,F381+E382)</f>
        <v/>
      </c>
      <c r="G382" s="11">
        <f>IF(E382="","",MIN(E382,MAX(0,10000-F381))*0.45+MAX(0,E382-MAX(0,10000-F381))*0.25)</f>
        <v/>
      </c>
    </row>
    <row r="383">
      <c r="A383" s="9" t="n"/>
      <c r="F383">
        <f>IF(E383="",F382,F382+E383)</f>
        <v/>
      </c>
      <c r="G383" s="11">
        <f>IF(E383="","",MIN(E383,MAX(0,10000-F382))*0.45+MAX(0,E383-MAX(0,10000-F382))*0.25)</f>
        <v/>
      </c>
    </row>
    <row r="384">
      <c r="A384" s="9" t="n"/>
      <c r="F384">
        <f>IF(E384="",F383,F383+E384)</f>
        <v/>
      </c>
      <c r="G384" s="11">
        <f>IF(E384="","",MIN(E384,MAX(0,10000-F383))*0.45+MAX(0,E384-MAX(0,10000-F383))*0.25)</f>
        <v/>
      </c>
    </row>
    <row r="385">
      <c r="A385" s="9" t="n"/>
      <c r="F385">
        <f>IF(E385="",F384,F384+E385)</f>
        <v/>
      </c>
      <c r="G385" s="11">
        <f>IF(E385="","",MIN(E385,MAX(0,10000-F384))*0.45+MAX(0,E385-MAX(0,10000-F384))*0.25)</f>
        <v/>
      </c>
    </row>
    <row r="386">
      <c r="A386" s="9" t="n"/>
      <c r="F386">
        <f>IF(E386="",F385,F385+E386)</f>
        <v/>
      </c>
      <c r="G386" s="11">
        <f>IF(E386="","",MIN(E386,MAX(0,10000-F385))*0.45+MAX(0,E386-MAX(0,10000-F385))*0.25)</f>
        <v/>
      </c>
    </row>
    <row r="387">
      <c r="A387" s="9" t="n"/>
      <c r="F387">
        <f>IF(E387="",F386,F386+E387)</f>
        <v/>
      </c>
      <c r="G387" s="11">
        <f>IF(E387="","",MIN(E387,MAX(0,10000-F386))*0.45+MAX(0,E387-MAX(0,10000-F386))*0.25)</f>
        <v/>
      </c>
    </row>
    <row r="388">
      <c r="A388" s="9" t="n"/>
      <c r="F388">
        <f>IF(E388="",F387,F387+E388)</f>
        <v/>
      </c>
      <c r="G388" s="11">
        <f>IF(E388="","",MIN(E388,MAX(0,10000-F387))*0.45+MAX(0,E388-MAX(0,10000-F387))*0.25)</f>
        <v/>
      </c>
    </row>
    <row r="389">
      <c r="A389" s="9" t="n"/>
      <c r="F389">
        <f>IF(E389="",F388,F388+E389)</f>
        <v/>
      </c>
      <c r="G389" s="11">
        <f>IF(E389="","",MIN(E389,MAX(0,10000-F388))*0.45+MAX(0,E389-MAX(0,10000-F388))*0.25)</f>
        <v/>
      </c>
    </row>
    <row r="390">
      <c r="A390" s="9" t="n"/>
      <c r="F390">
        <f>IF(E390="",F389,F389+E390)</f>
        <v/>
      </c>
      <c r="G390" s="11">
        <f>IF(E390="","",MIN(E390,MAX(0,10000-F389))*0.45+MAX(0,E390-MAX(0,10000-F389))*0.25)</f>
        <v/>
      </c>
    </row>
    <row r="391">
      <c r="A391" s="9" t="n"/>
      <c r="F391">
        <f>IF(E391="",F390,F390+E391)</f>
        <v/>
      </c>
      <c r="G391" s="11">
        <f>IF(E391="","",MIN(E391,MAX(0,10000-F390))*0.45+MAX(0,E391-MAX(0,10000-F390))*0.25)</f>
        <v/>
      </c>
    </row>
    <row r="392">
      <c r="A392" s="9" t="n"/>
      <c r="F392">
        <f>IF(E392="",F391,F391+E392)</f>
        <v/>
      </c>
      <c r="G392" s="11">
        <f>IF(E392="","",MIN(E392,MAX(0,10000-F391))*0.45+MAX(0,E392-MAX(0,10000-F391))*0.25)</f>
        <v/>
      </c>
    </row>
    <row r="393">
      <c r="A393" s="9" t="n"/>
      <c r="F393">
        <f>IF(E393="",F392,F392+E393)</f>
        <v/>
      </c>
      <c r="G393" s="11">
        <f>IF(E393="","",MIN(E393,MAX(0,10000-F392))*0.45+MAX(0,E393-MAX(0,10000-F392))*0.25)</f>
        <v/>
      </c>
    </row>
    <row r="394">
      <c r="A394" s="9" t="n"/>
      <c r="F394">
        <f>IF(E394="",F393,F393+E394)</f>
        <v/>
      </c>
      <c r="G394" s="11">
        <f>IF(E394="","",MIN(E394,MAX(0,10000-F393))*0.45+MAX(0,E394-MAX(0,10000-F393))*0.25)</f>
        <v/>
      </c>
    </row>
    <row r="395">
      <c r="A395" s="9" t="n"/>
      <c r="F395">
        <f>IF(E395="",F394,F394+E395)</f>
        <v/>
      </c>
      <c r="G395" s="11">
        <f>IF(E395="","",MIN(E395,MAX(0,10000-F394))*0.45+MAX(0,E395-MAX(0,10000-F394))*0.25)</f>
        <v/>
      </c>
    </row>
    <row r="396">
      <c r="A396" s="9" t="n"/>
      <c r="F396">
        <f>IF(E396="",F395,F395+E396)</f>
        <v/>
      </c>
      <c r="G396" s="11">
        <f>IF(E396="","",MIN(E396,MAX(0,10000-F395))*0.45+MAX(0,E396-MAX(0,10000-F395))*0.25)</f>
        <v/>
      </c>
    </row>
    <row r="397">
      <c r="A397" s="9" t="n"/>
      <c r="F397">
        <f>IF(E397="",F396,F396+E397)</f>
        <v/>
      </c>
      <c r="G397" s="11">
        <f>IF(E397="","",MIN(E397,MAX(0,10000-F396))*0.45+MAX(0,E397-MAX(0,10000-F396))*0.25)</f>
        <v/>
      </c>
    </row>
    <row r="398">
      <c r="A398" s="9" t="n"/>
      <c r="F398">
        <f>IF(E398="",F397,F397+E398)</f>
        <v/>
      </c>
      <c r="G398" s="11">
        <f>IF(E398="","",MIN(E398,MAX(0,10000-F397))*0.45+MAX(0,E398-MAX(0,10000-F397))*0.25)</f>
        <v/>
      </c>
    </row>
    <row r="399">
      <c r="A399" s="9" t="n"/>
      <c r="F399">
        <f>IF(E399="",F398,F398+E399)</f>
        <v/>
      </c>
      <c r="G399" s="11">
        <f>IF(E399="","",MIN(E399,MAX(0,10000-F398))*0.45+MAX(0,E399-MAX(0,10000-F398))*0.25)</f>
        <v/>
      </c>
    </row>
    <row r="400">
      <c r="A400" s="9" t="n"/>
      <c r="F400">
        <f>IF(E400="",F399,F399+E400)</f>
        <v/>
      </c>
      <c r="G400" s="11">
        <f>IF(E400="","",MIN(E400,MAX(0,10000-F399))*0.45+MAX(0,E400-MAX(0,10000-F399))*0.25)</f>
        <v/>
      </c>
    </row>
    <row r="401">
      <c r="A401" s="9" t="n"/>
      <c r="F401">
        <f>IF(E401="",F400,F400+E401)</f>
        <v/>
      </c>
      <c r="G401" s="11">
        <f>IF(E401="","",MIN(E401,MAX(0,10000-F400))*0.45+MAX(0,E401-MAX(0,10000-F400))*0.25)</f>
        <v/>
      </c>
    </row>
    <row r="402">
      <c r="A402" s="9" t="n"/>
      <c r="F402">
        <f>IF(E402="",F401,F401+E402)</f>
        <v/>
      </c>
      <c r="G402" s="11">
        <f>IF(E402="","",MIN(E402,MAX(0,10000-F401))*0.45+MAX(0,E402-MAX(0,10000-F401))*0.25)</f>
        <v/>
      </c>
    </row>
    <row r="403">
      <c r="A403" s="9" t="n"/>
      <c r="F403">
        <f>IF(E403="",F402,F402+E403)</f>
        <v/>
      </c>
      <c r="G403" s="11">
        <f>IF(E403="","",MIN(E403,MAX(0,10000-F402))*0.45+MAX(0,E403-MAX(0,10000-F402))*0.25)</f>
        <v/>
      </c>
    </row>
    <row r="404">
      <c r="A404" s="9" t="n"/>
      <c r="F404">
        <f>IF(E404="",F403,F403+E404)</f>
        <v/>
      </c>
      <c r="G404" s="11">
        <f>IF(E404="","",MIN(E404,MAX(0,10000-F403))*0.45+MAX(0,E404-MAX(0,10000-F403))*0.25)</f>
        <v/>
      </c>
    </row>
    <row r="405">
      <c r="A405" s="9" t="n"/>
      <c r="F405">
        <f>IF(E405="",F404,F404+E405)</f>
        <v/>
      </c>
      <c r="G405" s="11">
        <f>IF(E405="","",MIN(E405,MAX(0,10000-F404))*0.45+MAX(0,E405-MAX(0,10000-F404))*0.25)</f>
        <v/>
      </c>
    </row>
    <row r="406">
      <c r="A406" s="9" t="n"/>
      <c r="F406">
        <f>IF(E406="",F405,F405+E406)</f>
        <v/>
      </c>
      <c r="G406" s="11">
        <f>IF(E406="","",MIN(E406,MAX(0,10000-F405))*0.45+MAX(0,E406-MAX(0,10000-F405))*0.25)</f>
        <v/>
      </c>
    </row>
    <row r="407">
      <c r="A407" s="9" t="n"/>
      <c r="F407">
        <f>IF(E407="",F406,F406+E407)</f>
        <v/>
      </c>
      <c r="G407" s="11">
        <f>IF(E407="","",MIN(E407,MAX(0,10000-F406))*0.45+MAX(0,E407-MAX(0,10000-F406))*0.25)</f>
        <v/>
      </c>
    </row>
    <row r="408">
      <c r="A408" s="9" t="n"/>
      <c r="F408">
        <f>IF(E408="",F407,F407+E408)</f>
        <v/>
      </c>
      <c r="G408" s="11">
        <f>IF(E408="","",MIN(E408,MAX(0,10000-F407))*0.45+MAX(0,E408-MAX(0,10000-F407))*0.25)</f>
        <v/>
      </c>
    </row>
    <row r="409">
      <c r="A409" s="9" t="n"/>
      <c r="F409">
        <f>IF(E409="",F408,F408+E409)</f>
        <v/>
      </c>
      <c r="G409" s="11">
        <f>IF(E409="","",MIN(E409,MAX(0,10000-F408))*0.45+MAX(0,E409-MAX(0,10000-F408))*0.25)</f>
        <v/>
      </c>
    </row>
    <row r="410">
      <c r="A410" s="9" t="n"/>
      <c r="F410">
        <f>IF(E410="",F409,F409+E410)</f>
        <v/>
      </c>
      <c r="G410" s="11">
        <f>IF(E410="","",MIN(E410,MAX(0,10000-F409))*0.45+MAX(0,E410-MAX(0,10000-F409))*0.25)</f>
        <v/>
      </c>
    </row>
    <row r="411">
      <c r="A411" s="9" t="n"/>
      <c r="F411">
        <f>IF(E411="",F410,F410+E411)</f>
        <v/>
      </c>
      <c r="G411" s="11">
        <f>IF(E411="","",MIN(E411,MAX(0,10000-F410))*0.45+MAX(0,E411-MAX(0,10000-F410))*0.25)</f>
        <v/>
      </c>
    </row>
    <row r="412">
      <c r="A412" s="9" t="n"/>
      <c r="F412">
        <f>IF(E412="",F411,F411+E412)</f>
        <v/>
      </c>
      <c r="G412" s="11">
        <f>IF(E412="","",MIN(E412,MAX(0,10000-F411))*0.45+MAX(0,E412-MAX(0,10000-F411))*0.25)</f>
        <v/>
      </c>
    </row>
    <row r="413">
      <c r="A413" s="9" t="n"/>
      <c r="F413">
        <f>IF(E413="",F412,F412+E413)</f>
        <v/>
      </c>
      <c r="G413" s="11">
        <f>IF(E413="","",MIN(E413,MAX(0,10000-F412))*0.45+MAX(0,E413-MAX(0,10000-F412))*0.25)</f>
        <v/>
      </c>
    </row>
    <row r="414">
      <c r="A414" s="9" t="n"/>
      <c r="F414">
        <f>IF(E414="",F413,F413+E414)</f>
        <v/>
      </c>
      <c r="G414" s="11">
        <f>IF(E414="","",MIN(E414,MAX(0,10000-F413))*0.45+MAX(0,E414-MAX(0,10000-F413))*0.25)</f>
        <v/>
      </c>
    </row>
    <row r="415">
      <c r="A415" s="9" t="n"/>
      <c r="F415">
        <f>IF(E415="",F414,F414+E415)</f>
        <v/>
      </c>
      <c r="G415" s="11">
        <f>IF(E415="","",MIN(E415,MAX(0,10000-F414))*0.45+MAX(0,E415-MAX(0,10000-F414))*0.25)</f>
        <v/>
      </c>
    </row>
    <row r="416">
      <c r="A416" s="9" t="n"/>
      <c r="F416">
        <f>IF(E416="",F415,F415+E416)</f>
        <v/>
      </c>
      <c r="G416" s="11">
        <f>IF(E416="","",MIN(E416,MAX(0,10000-F415))*0.45+MAX(0,E416-MAX(0,10000-F415))*0.25)</f>
        <v/>
      </c>
    </row>
    <row r="417">
      <c r="A417" s="9" t="n"/>
      <c r="F417">
        <f>IF(E417="",F416,F416+E417)</f>
        <v/>
      </c>
      <c r="G417" s="11">
        <f>IF(E417="","",MIN(E417,MAX(0,10000-F416))*0.45+MAX(0,E417-MAX(0,10000-F416))*0.25)</f>
        <v/>
      </c>
    </row>
    <row r="418">
      <c r="A418" s="9" t="n"/>
      <c r="F418">
        <f>IF(E418="",F417,F417+E418)</f>
        <v/>
      </c>
      <c r="G418" s="11">
        <f>IF(E418="","",MIN(E418,MAX(0,10000-F417))*0.45+MAX(0,E418-MAX(0,10000-F417))*0.25)</f>
        <v/>
      </c>
    </row>
    <row r="419">
      <c r="A419" s="9" t="n"/>
      <c r="F419">
        <f>IF(E419="",F418,F418+E419)</f>
        <v/>
      </c>
      <c r="G419" s="11">
        <f>IF(E419="","",MIN(E419,MAX(0,10000-F418))*0.45+MAX(0,E419-MAX(0,10000-F418))*0.25)</f>
        <v/>
      </c>
    </row>
    <row r="420">
      <c r="A420" s="9" t="n"/>
      <c r="F420">
        <f>IF(E420="",F419,F419+E420)</f>
        <v/>
      </c>
      <c r="G420" s="11">
        <f>IF(E420="","",MIN(E420,MAX(0,10000-F419))*0.45+MAX(0,E420-MAX(0,10000-F419))*0.25)</f>
        <v/>
      </c>
    </row>
    <row r="421">
      <c r="A421" s="9" t="n"/>
      <c r="F421">
        <f>IF(E421="",F420,F420+E421)</f>
        <v/>
      </c>
      <c r="G421" s="11">
        <f>IF(E421="","",MIN(E421,MAX(0,10000-F420))*0.45+MAX(0,E421-MAX(0,10000-F420))*0.25)</f>
        <v/>
      </c>
    </row>
    <row r="422">
      <c r="A422" s="9" t="n"/>
      <c r="F422">
        <f>IF(E422="",F421,F421+E422)</f>
        <v/>
      </c>
      <c r="G422" s="11">
        <f>IF(E422="","",MIN(E422,MAX(0,10000-F421))*0.45+MAX(0,E422-MAX(0,10000-F421))*0.25)</f>
        <v/>
      </c>
    </row>
    <row r="423">
      <c r="A423" s="9" t="n"/>
      <c r="F423">
        <f>IF(E423="",F422,F422+E423)</f>
        <v/>
      </c>
      <c r="G423" s="11">
        <f>IF(E423="","",MIN(E423,MAX(0,10000-F422))*0.45+MAX(0,E423-MAX(0,10000-F422))*0.25)</f>
        <v/>
      </c>
    </row>
    <row r="424">
      <c r="A424" s="9" t="n"/>
      <c r="F424">
        <f>IF(E424="",F423,F423+E424)</f>
        <v/>
      </c>
      <c r="G424" s="11">
        <f>IF(E424="","",MIN(E424,MAX(0,10000-F423))*0.45+MAX(0,E424-MAX(0,10000-F423))*0.25)</f>
        <v/>
      </c>
    </row>
    <row r="425">
      <c r="A425" s="9" t="n"/>
      <c r="F425">
        <f>IF(E425="",F424,F424+E425)</f>
        <v/>
      </c>
      <c r="G425" s="11">
        <f>IF(E425="","",MIN(E425,MAX(0,10000-F424))*0.45+MAX(0,E425-MAX(0,10000-F424))*0.25)</f>
        <v/>
      </c>
    </row>
    <row r="426">
      <c r="A426" s="9" t="n"/>
      <c r="F426">
        <f>IF(E426="",F425,F425+E426)</f>
        <v/>
      </c>
      <c r="G426" s="11">
        <f>IF(E426="","",MIN(E426,MAX(0,10000-F425))*0.45+MAX(0,E426-MAX(0,10000-F425))*0.25)</f>
        <v/>
      </c>
    </row>
    <row r="427">
      <c r="A427" s="9" t="n"/>
      <c r="F427">
        <f>IF(E427="",F426,F426+E427)</f>
        <v/>
      </c>
      <c r="G427" s="11">
        <f>IF(E427="","",MIN(E427,MAX(0,10000-F426))*0.45+MAX(0,E427-MAX(0,10000-F426))*0.25)</f>
        <v/>
      </c>
    </row>
    <row r="428">
      <c r="A428" s="9" t="n"/>
      <c r="F428">
        <f>IF(E428="",F427,F427+E428)</f>
        <v/>
      </c>
      <c r="G428" s="11">
        <f>IF(E428="","",MIN(E428,MAX(0,10000-F427))*0.45+MAX(0,E428-MAX(0,10000-F427))*0.25)</f>
        <v/>
      </c>
    </row>
    <row r="429">
      <c r="A429" s="9" t="n"/>
      <c r="F429">
        <f>IF(E429="",F428,F428+E429)</f>
        <v/>
      </c>
      <c r="G429" s="11">
        <f>IF(E429="","",MIN(E429,MAX(0,10000-F428))*0.45+MAX(0,E429-MAX(0,10000-F428))*0.25)</f>
        <v/>
      </c>
    </row>
    <row r="430">
      <c r="A430" s="9" t="n"/>
      <c r="F430">
        <f>IF(E430="",F429,F429+E430)</f>
        <v/>
      </c>
      <c r="G430" s="11">
        <f>IF(E430="","",MIN(E430,MAX(0,10000-F429))*0.45+MAX(0,E430-MAX(0,10000-F429))*0.25)</f>
        <v/>
      </c>
    </row>
    <row r="431">
      <c r="A431" s="9" t="n"/>
      <c r="F431">
        <f>IF(E431="",F430,F430+E431)</f>
        <v/>
      </c>
      <c r="G431" s="11">
        <f>IF(E431="","",MIN(E431,MAX(0,10000-F430))*0.45+MAX(0,E431-MAX(0,10000-F430))*0.25)</f>
        <v/>
      </c>
    </row>
    <row r="432">
      <c r="A432" s="9" t="n"/>
      <c r="F432">
        <f>IF(E432="",F431,F431+E432)</f>
        <v/>
      </c>
      <c r="G432" s="11">
        <f>IF(E432="","",MIN(E432,MAX(0,10000-F431))*0.45+MAX(0,E432-MAX(0,10000-F431))*0.25)</f>
        <v/>
      </c>
    </row>
    <row r="433">
      <c r="A433" s="9" t="n"/>
      <c r="F433">
        <f>IF(E433="",F432,F432+E433)</f>
        <v/>
      </c>
      <c r="G433" s="11">
        <f>IF(E433="","",MIN(E433,MAX(0,10000-F432))*0.45+MAX(0,E433-MAX(0,10000-F432))*0.25)</f>
        <v/>
      </c>
    </row>
    <row r="434">
      <c r="A434" s="9" t="n"/>
      <c r="F434">
        <f>IF(E434="",F433,F433+E434)</f>
        <v/>
      </c>
      <c r="G434" s="11">
        <f>IF(E434="","",MIN(E434,MAX(0,10000-F433))*0.45+MAX(0,E434-MAX(0,10000-F433))*0.25)</f>
        <v/>
      </c>
    </row>
    <row r="435">
      <c r="A435" s="9" t="n"/>
      <c r="F435">
        <f>IF(E435="",F434,F434+E435)</f>
        <v/>
      </c>
      <c r="G435" s="11">
        <f>IF(E435="","",MIN(E435,MAX(0,10000-F434))*0.45+MAX(0,E435-MAX(0,10000-F434))*0.25)</f>
        <v/>
      </c>
    </row>
    <row r="436">
      <c r="A436" s="9" t="n"/>
      <c r="F436">
        <f>IF(E436="",F435,F435+E436)</f>
        <v/>
      </c>
      <c r="G436" s="11">
        <f>IF(E436="","",MIN(E436,MAX(0,10000-F435))*0.45+MAX(0,E436-MAX(0,10000-F435))*0.25)</f>
        <v/>
      </c>
    </row>
    <row r="437">
      <c r="A437" s="9" t="n"/>
      <c r="F437">
        <f>IF(E437="",F436,F436+E437)</f>
        <v/>
      </c>
      <c r="G437" s="11">
        <f>IF(E437="","",MIN(E437,MAX(0,10000-F436))*0.45+MAX(0,E437-MAX(0,10000-F436))*0.25)</f>
        <v/>
      </c>
    </row>
    <row r="438">
      <c r="A438" s="9" t="n"/>
      <c r="F438">
        <f>IF(E438="",F437,F437+E438)</f>
        <v/>
      </c>
      <c r="G438" s="11">
        <f>IF(E438="","",MIN(E438,MAX(0,10000-F437))*0.45+MAX(0,E438-MAX(0,10000-F437))*0.25)</f>
        <v/>
      </c>
    </row>
    <row r="439">
      <c r="A439" s="9" t="n"/>
      <c r="F439">
        <f>IF(E439="",F438,F438+E439)</f>
        <v/>
      </c>
      <c r="G439" s="11">
        <f>IF(E439="","",MIN(E439,MAX(0,10000-F438))*0.45+MAX(0,E439-MAX(0,10000-F438))*0.25)</f>
        <v/>
      </c>
    </row>
    <row r="440">
      <c r="A440" s="9" t="n"/>
      <c r="F440">
        <f>IF(E440="",F439,F439+E440)</f>
        <v/>
      </c>
      <c r="G440" s="11">
        <f>IF(E440="","",MIN(E440,MAX(0,10000-F439))*0.45+MAX(0,E440-MAX(0,10000-F439))*0.25)</f>
        <v/>
      </c>
    </row>
    <row r="441">
      <c r="A441" s="9" t="n"/>
      <c r="F441">
        <f>IF(E441="",F440,F440+E441)</f>
        <v/>
      </c>
      <c r="G441" s="11">
        <f>IF(E441="","",MIN(E441,MAX(0,10000-F440))*0.45+MAX(0,E441-MAX(0,10000-F440))*0.25)</f>
        <v/>
      </c>
    </row>
    <row r="442">
      <c r="A442" s="9" t="n"/>
      <c r="F442">
        <f>IF(E442="",F441,F441+E442)</f>
        <v/>
      </c>
      <c r="G442" s="11">
        <f>IF(E442="","",MIN(E442,MAX(0,10000-F441))*0.45+MAX(0,E442-MAX(0,10000-F441))*0.25)</f>
        <v/>
      </c>
    </row>
    <row r="443">
      <c r="A443" s="9" t="n"/>
      <c r="F443">
        <f>IF(E443="",F442,F442+E443)</f>
        <v/>
      </c>
      <c r="G443" s="11">
        <f>IF(E443="","",MIN(E443,MAX(0,10000-F442))*0.45+MAX(0,E443-MAX(0,10000-F442))*0.25)</f>
        <v/>
      </c>
    </row>
    <row r="444">
      <c r="A444" s="9" t="n"/>
      <c r="F444">
        <f>IF(E444="",F443,F443+E444)</f>
        <v/>
      </c>
      <c r="G444" s="11">
        <f>IF(E444="","",MIN(E444,MAX(0,10000-F443))*0.45+MAX(0,E444-MAX(0,10000-F443))*0.25)</f>
        <v/>
      </c>
    </row>
    <row r="445">
      <c r="A445" s="9" t="n"/>
      <c r="F445">
        <f>IF(E445="",F444,F444+E445)</f>
        <v/>
      </c>
      <c r="G445" s="11">
        <f>IF(E445="","",MIN(E445,MAX(0,10000-F444))*0.45+MAX(0,E445-MAX(0,10000-F444))*0.25)</f>
        <v/>
      </c>
    </row>
    <row r="446">
      <c r="A446" s="9" t="n"/>
      <c r="F446">
        <f>IF(E446="",F445,F445+E446)</f>
        <v/>
      </c>
      <c r="G446" s="11">
        <f>IF(E446="","",MIN(E446,MAX(0,10000-F445))*0.45+MAX(0,E446-MAX(0,10000-F445))*0.25)</f>
        <v/>
      </c>
    </row>
    <row r="447">
      <c r="A447" s="9" t="n"/>
      <c r="F447">
        <f>IF(E447="",F446,F446+E447)</f>
        <v/>
      </c>
      <c r="G447" s="11">
        <f>IF(E447="","",MIN(E447,MAX(0,10000-F446))*0.45+MAX(0,E447-MAX(0,10000-F446))*0.25)</f>
        <v/>
      </c>
    </row>
    <row r="448">
      <c r="A448" s="9" t="n"/>
      <c r="F448">
        <f>IF(E448="",F447,F447+E448)</f>
        <v/>
      </c>
      <c r="G448" s="11">
        <f>IF(E448="","",MIN(E448,MAX(0,10000-F447))*0.45+MAX(0,E448-MAX(0,10000-F447))*0.25)</f>
        <v/>
      </c>
    </row>
    <row r="449">
      <c r="A449" s="9" t="n"/>
      <c r="F449">
        <f>IF(E449="",F448,F448+E449)</f>
        <v/>
      </c>
      <c r="G449" s="11">
        <f>IF(E449="","",MIN(E449,MAX(0,10000-F448))*0.45+MAX(0,E449-MAX(0,10000-F448))*0.25)</f>
        <v/>
      </c>
    </row>
    <row r="450">
      <c r="A450" s="9" t="n"/>
      <c r="F450">
        <f>IF(E450="",F449,F449+E450)</f>
        <v/>
      </c>
      <c r="G450" s="11">
        <f>IF(E450="","",MIN(E450,MAX(0,10000-F449))*0.45+MAX(0,E450-MAX(0,10000-F449))*0.25)</f>
        <v/>
      </c>
    </row>
    <row r="451">
      <c r="A451" s="9" t="n"/>
      <c r="F451">
        <f>IF(E451="",F450,F450+E451)</f>
        <v/>
      </c>
      <c r="G451" s="11">
        <f>IF(E451="","",MIN(E451,MAX(0,10000-F450))*0.45+MAX(0,E451-MAX(0,10000-F450))*0.25)</f>
        <v/>
      </c>
    </row>
    <row r="452">
      <c r="A452" s="9" t="n"/>
      <c r="F452">
        <f>IF(E452="",F451,F451+E452)</f>
        <v/>
      </c>
      <c r="G452" s="11">
        <f>IF(E452="","",MIN(E452,MAX(0,10000-F451))*0.45+MAX(0,E452-MAX(0,10000-F451))*0.25)</f>
        <v/>
      </c>
    </row>
    <row r="453">
      <c r="A453" s="9" t="n"/>
      <c r="F453">
        <f>IF(E453="",F452,F452+E453)</f>
        <v/>
      </c>
      <c r="G453" s="11">
        <f>IF(E453="","",MIN(E453,MAX(0,10000-F452))*0.45+MAX(0,E453-MAX(0,10000-F452))*0.25)</f>
        <v/>
      </c>
    </row>
    <row r="454">
      <c r="A454" s="9" t="n"/>
      <c r="F454">
        <f>IF(E454="",F453,F453+E454)</f>
        <v/>
      </c>
      <c r="G454" s="11">
        <f>IF(E454="","",MIN(E454,MAX(0,10000-F453))*0.45+MAX(0,E454-MAX(0,10000-F453))*0.25)</f>
        <v/>
      </c>
    </row>
    <row r="455">
      <c r="A455" s="9" t="n"/>
      <c r="F455">
        <f>IF(E455="",F454,F454+E455)</f>
        <v/>
      </c>
      <c r="G455" s="11">
        <f>IF(E455="","",MIN(E455,MAX(0,10000-F454))*0.45+MAX(0,E455-MAX(0,10000-F454))*0.25)</f>
        <v/>
      </c>
    </row>
    <row r="456">
      <c r="A456" s="9" t="n"/>
      <c r="F456">
        <f>IF(E456="",F455,F455+E456)</f>
        <v/>
      </c>
      <c r="G456" s="11">
        <f>IF(E456="","",MIN(E456,MAX(0,10000-F455))*0.45+MAX(0,E456-MAX(0,10000-F455))*0.25)</f>
        <v/>
      </c>
    </row>
    <row r="457">
      <c r="A457" s="9" t="n"/>
      <c r="F457">
        <f>IF(E457="",F456,F456+E457)</f>
        <v/>
      </c>
      <c r="G457" s="11">
        <f>IF(E457="","",MIN(E457,MAX(0,10000-F456))*0.45+MAX(0,E457-MAX(0,10000-F456))*0.25)</f>
        <v/>
      </c>
    </row>
    <row r="458">
      <c r="A458" s="9" t="n"/>
      <c r="F458">
        <f>IF(E458="",F457,F457+E458)</f>
        <v/>
      </c>
      <c r="G458" s="11">
        <f>IF(E458="","",MIN(E458,MAX(0,10000-F457))*0.45+MAX(0,E458-MAX(0,10000-F457))*0.25)</f>
        <v/>
      </c>
    </row>
    <row r="459">
      <c r="A459" s="9" t="n"/>
      <c r="F459">
        <f>IF(E459="",F458,F458+E459)</f>
        <v/>
      </c>
      <c r="G459" s="11">
        <f>IF(E459="","",MIN(E459,MAX(0,10000-F458))*0.45+MAX(0,E459-MAX(0,10000-F458))*0.25)</f>
        <v/>
      </c>
    </row>
    <row r="460">
      <c r="A460" s="9" t="n"/>
      <c r="F460">
        <f>IF(E460="",F459,F459+E460)</f>
        <v/>
      </c>
      <c r="G460" s="11">
        <f>IF(E460="","",MIN(E460,MAX(0,10000-F459))*0.45+MAX(0,E460-MAX(0,10000-F459))*0.25)</f>
        <v/>
      </c>
    </row>
    <row r="461">
      <c r="A461" s="9" t="n"/>
      <c r="F461">
        <f>IF(E461="",F460,F460+E461)</f>
        <v/>
      </c>
      <c r="G461" s="11">
        <f>IF(E461="","",MIN(E461,MAX(0,10000-F460))*0.45+MAX(0,E461-MAX(0,10000-F460))*0.25)</f>
        <v/>
      </c>
    </row>
    <row r="462">
      <c r="A462" s="9" t="n"/>
      <c r="F462">
        <f>IF(E462="",F461,F461+E462)</f>
        <v/>
      </c>
      <c r="G462" s="11">
        <f>IF(E462="","",MIN(E462,MAX(0,10000-F461))*0.45+MAX(0,E462-MAX(0,10000-F461))*0.25)</f>
        <v/>
      </c>
    </row>
    <row r="463">
      <c r="A463" s="9" t="n"/>
      <c r="F463">
        <f>IF(E463="",F462,F462+E463)</f>
        <v/>
      </c>
      <c r="G463" s="11">
        <f>IF(E463="","",MIN(E463,MAX(0,10000-F462))*0.45+MAX(0,E463-MAX(0,10000-F462))*0.25)</f>
        <v/>
      </c>
    </row>
    <row r="464">
      <c r="A464" s="9" t="n"/>
      <c r="F464">
        <f>IF(E464="",F463,F463+E464)</f>
        <v/>
      </c>
      <c r="G464" s="11">
        <f>IF(E464="","",MIN(E464,MAX(0,10000-F463))*0.45+MAX(0,E464-MAX(0,10000-F463))*0.25)</f>
        <v/>
      </c>
    </row>
    <row r="465">
      <c r="A465" s="9" t="n"/>
      <c r="F465">
        <f>IF(E465="",F464,F464+E465)</f>
        <v/>
      </c>
      <c r="G465" s="11">
        <f>IF(E465="","",MIN(E465,MAX(0,10000-F464))*0.45+MAX(0,E465-MAX(0,10000-F464))*0.25)</f>
        <v/>
      </c>
    </row>
    <row r="466">
      <c r="A466" s="9" t="n"/>
      <c r="F466">
        <f>IF(E466="",F465,F465+E466)</f>
        <v/>
      </c>
      <c r="G466" s="11">
        <f>IF(E466="","",MIN(E466,MAX(0,10000-F465))*0.45+MAX(0,E466-MAX(0,10000-F465))*0.25)</f>
        <v/>
      </c>
    </row>
    <row r="467">
      <c r="A467" s="9" t="n"/>
      <c r="F467">
        <f>IF(E467="",F466,F466+E467)</f>
        <v/>
      </c>
      <c r="G467" s="11">
        <f>IF(E467="","",MIN(E467,MAX(0,10000-F466))*0.45+MAX(0,E467-MAX(0,10000-F466))*0.25)</f>
        <v/>
      </c>
    </row>
    <row r="468">
      <c r="A468" s="9" t="n"/>
      <c r="F468">
        <f>IF(E468="",F467,F467+E468)</f>
        <v/>
      </c>
      <c r="G468" s="11">
        <f>IF(E468="","",MIN(E468,MAX(0,10000-F467))*0.45+MAX(0,E468-MAX(0,10000-F467))*0.25)</f>
        <v/>
      </c>
    </row>
    <row r="469">
      <c r="A469" s="9" t="n"/>
      <c r="F469">
        <f>IF(E469="",F468,F468+E469)</f>
        <v/>
      </c>
      <c r="G469" s="11">
        <f>IF(E469="","",MIN(E469,MAX(0,10000-F468))*0.45+MAX(0,E469-MAX(0,10000-F468))*0.25)</f>
        <v/>
      </c>
    </row>
    <row r="470">
      <c r="A470" s="9" t="n"/>
      <c r="F470">
        <f>IF(E470="",F469,F469+E470)</f>
        <v/>
      </c>
      <c r="G470" s="11">
        <f>IF(E470="","",MIN(E470,MAX(0,10000-F469))*0.45+MAX(0,E470-MAX(0,10000-F469))*0.25)</f>
        <v/>
      </c>
    </row>
    <row r="471">
      <c r="A471" s="9" t="n"/>
      <c r="F471">
        <f>IF(E471="",F470,F470+E471)</f>
        <v/>
      </c>
      <c r="G471" s="11">
        <f>IF(E471="","",MIN(E471,MAX(0,10000-F470))*0.45+MAX(0,E471-MAX(0,10000-F470))*0.25)</f>
        <v/>
      </c>
    </row>
    <row r="472">
      <c r="A472" s="9" t="n"/>
      <c r="F472">
        <f>IF(E472="",F471,F471+E472)</f>
        <v/>
      </c>
      <c r="G472" s="11">
        <f>IF(E472="","",MIN(E472,MAX(0,10000-F471))*0.45+MAX(0,E472-MAX(0,10000-F471))*0.25)</f>
        <v/>
      </c>
    </row>
    <row r="473">
      <c r="A473" s="9" t="n"/>
      <c r="F473">
        <f>IF(E473="",F472,F472+E473)</f>
        <v/>
      </c>
      <c r="G473" s="11">
        <f>IF(E473="","",MIN(E473,MAX(0,10000-F472))*0.45+MAX(0,E473-MAX(0,10000-F472))*0.25)</f>
        <v/>
      </c>
    </row>
    <row r="474">
      <c r="A474" s="9" t="n"/>
      <c r="F474">
        <f>IF(E474="",F473,F473+E474)</f>
        <v/>
      </c>
      <c r="G474" s="11">
        <f>IF(E474="","",MIN(E474,MAX(0,10000-F473))*0.45+MAX(0,E474-MAX(0,10000-F473))*0.25)</f>
        <v/>
      </c>
    </row>
    <row r="475">
      <c r="A475" s="9" t="n"/>
      <c r="F475">
        <f>IF(E475="",F474,F474+E475)</f>
        <v/>
      </c>
      <c r="G475" s="11">
        <f>IF(E475="","",MIN(E475,MAX(0,10000-F474))*0.45+MAX(0,E475-MAX(0,10000-F474))*0.25)</f>
        <v/>
      </c>
    </row>
    <row r="476">
      <c r="A476" s="9" t="n"/>
      <c r="F476">
        <f>IF(E476="",F475,F475+E476)</f>
        <v/>
      </c>
      <c r="G476" s="11">
        <f>IF(E476="","",MIN(E476,MAX(0,10000-F475))*0.45+MAX(0,E476-MAX(0,10000-F475))*0.25)</f>
        <v/>
      </c>
    </row>
    <row r="477">
      <c r="A477" s="9" t="n"/>
      <c r="F477">
        <f>IF(E477="",F476,F476+E477)</f>
        <v/>
      </c>
      <c r="G477" s="11">
        <f>IF(E477="","",MIN(E477,MAX(0,10000-F476))*0.45+MAX(0,E477-MAX(0,10000-F476))*0.25)</f>
        <v/>
      </c>
    </row>
    <row r="478">
      <c r="A478" s="9" t="n"/>
      <c r="F478">
        <f>IF(E478="",F477,F477+E478)</f>
        <v/>
      </c>
      <c r="G478" s="11">
        <f>IF(E478="","",MIN(E478,MAX(0,10000-F477))*0.45+MAX(0,E478-MAX(0,10000-F477))*0.25)</f>
        <v/>
      </c>
    </row>
    <row r="479">
      <c r="A479" s="9" t="n"/>
      <c r="F479">
        <f>IF(E479="",F478,F478+E479)</f>
        <v/>
      </c>
      <c r="G479" s="11">
        <f>IF(E479="","",MIN(E479,MAX(0,10000-F478))*0.45+MAX(0,E479-MAX(0,10000-F478))*0.25)</f>
        <v/>
      </c>
    </row>
    <row r="480">
      <c r="A480" s="9" t="n"/>
      <c r="F480">
        <f>IF(E480="",F479,F479+E480)</f>
        <v/>
      </c>
      <c r="G480" s="11">
        <f>IF(E480="","",MIN(E480,MAX(0,10000-F479))*0.45+MAX(0,E480-MAX(0,10000-F479))*0.25)</f>
        <v/>
      </c>
    </row>
    <row r="481">
      <c r="A481" s="9" t="n"/>
      <c r="F481">
        <f>IF(E481="",F480,F480+E481)</f>
        <v/>
      </c>
      <c r="G481" s="11">
        <f>IF(E481="","",MIN(E481,MAX(0,10000-F480))*0.45+MAX(0,E481-MAX(0,10000-F480))*0.25)</f>
        <v/>
      </c>
    </row>
    <row r="482">
      <c r="A482" s="9" t="n"/>
      <c r="F482">
        <f>IF(E482="",F481,F481+E482)</f>
        <v/>
      </c>
      <c r="G482" s="11">
        <f>IF(E482="","",MIN(E482,MAX(0,10000-F481))*0.45+MAX(0,E482-MAX(0,10000-F481))*0.25)</f>
        <v/>
      </c>
    </row>
    <row r="483">
      <c r="A483" s="9" t="n"/>
      <c r="F483">
        <f>IF(E483="",F482,F482+E483)</f>
        <v/>
      </c>
      <c r="G483" s="11">
        <f>IF(E483="","",MIN(E483,MAX(0,10000-F482))*0.45+MAX(0,E483-MAX(0,10000-F482))*0.25)</f>
        <v/>
      </c>
    </row>
    <row r="484">
      <c r="A484" s="9" t="n"/>
      <c r="F484">
        <f>IF(E484="",F483,F483+E484)</f>
        <v/>
      </c>
      <c r="G484" s="11">
        <f>IF(E484="","",MIN(E484,MAX(0,10000-F483))*0.45+MAX(0,E484-MAX(0,10000-F483))*0.25)</f>
        <v/>
      </c>
    </row>
    <row r="485">
      <c r="A485" s="9" t="n"/>
      <c r="F485">
        <f>IF(E485="",F484,F484+E485)</f>
        <v/>
      </c>
      <c r="G485" s="11">
        <f>IF(E485="","",MIN(E485,MAX(0,10000-F484))*0.45+MAX(0,E485-MAX(0,10000-F484))*0.25)</f>
        <v/>
      </c>
    </row>
    <row r="486">
      <c r="A486" s="9" t="n"/>
      <c r="F486">
        <f>IF(E486="",F485,F485+E486)</f>
        <v/>
      </c>
      <c r="G486" s="11">
        <f>IF(E486="","",MIN(E486,MAX(0,10000-F485))*0.45+MAX(0,E486-MAX(0,10000-F485))*0.25)</f>
        <v/>
      </c>
    </row>
    <row r="487">
      <c r="A487" s="9" t="n"/>
      <c r="F487">
        <f>IF(E487="",F486,F486+E487)</f>
        <v/>
      </c>
      <c r="G487" s="11">
        <f>IF(E487="","",MIN(E487,MAX(0,10000-F486))*0.45+MAX(0,E487-MAX(0,10000-F486))*0.25)</f>
        <v/>
      </c>
    </row>
    <row r="488">
      <c r="A488" s="9" t="n"/>
      <c r="F488">
        <f>IF(E488="",F487,F487+E488)</f>
        <v/>
      </c>
      <c r="G488" s="11">
        <f>IF(E488="","",MIN(E488,MAX(0,10000-F487))*0.45+MAX(0,E488-MAX(0,10000-F487))*0.25)</f>
        <v/>
      </c>
    </row>
    <row r="489">
      <c r="A489" s="9" t="n"/>
      <c r="F489">
        <f>IF(E489="",F488,F488+E489)</f>
        <v/>
      </c>
      <c r="G489" s="11">
        <f>IF(E489="","",MIN(E489,MAX(0,10000-F488))*0.45+MAX(0,E489-MAX(0,10000-F488))*0.25)</f>
        <v/>
      </c>
    </row>
    <row r="490">
      <c r="A490" s="9" t="n"/>
      <c r="F490">
        <f>IF(E490="",F489,F489+E490)</f>
        <v/>
      </c>
      <c r="G490" s="11">
        <f>IF(E490="","",MIN(E490,MAX(0,10000-F489))*0.45+MAX(0,E490-MAX(0,10000-F489))*0.25)</f>
        <v/>
      </c>
    </row>
    <row r="491">
      <c r="A491" s="9" t="n"/>
      <c r="F491">
        <f>IF(E491="",F490,F490+E491)</f>
        <v/>
      </c>
      <c r="G491" s="11">
        <f>IF(E491="","",MIN(E491,MAX(0,10000-F490))*0.45+MAX(0,E491-MAX(0,10000-F490))*0.25)</f>
        <v/>
      </c>
    </row>
    <row r="492">
      <c r="A492" s="9" t="n"/>
      <c r="F492">
        <f>IF(E492="",F491,F491+E492)</f>
        <v/>
      </c>
      <c r="G492" s="11">
        <f>IF(E492="","",MIN(E492,MAX(0,10000-F491))*0.45+MAX(0,E492-MAX(0,10000-F491))*0.25)</f>
        <v/>
      </c>
    </row>
    <row r="493">
      <c r="A493" s="9" t="n"/>
      <c r="F493">
        <f>IF(E493="",F492,F492+E493)</f>
        <v/>
      </c>
      <c r="G493" s="11">
        <f>IF(E493="","",MIN(E493,MAX(0,10000-F492))*0.45+MAX(0,E493-MAX(0,10000-F492))*0.25)</f>
        <v/>
      </c>
    </row>
    <row r="494">
      <c r="A494" s="9" t="n"/>
      <c r="F494">
        <f>IF(E494="",F493,F493+E494)</f>
        <v/>
      </c>
      <c r="G494" s="11">
        <f>IF(E494="","",MIN(E494,MAX(0,10000-F493))*0.45+MAX(0,E494-MAX(0,10000-F493))*0.25)</f>
        <v/>
      </c>
    </row>
    <row r="495">
      <c r="A495" s="9" t="n"/>
      <c r="F495">
        <f>IF(E495="",F494,F494+E495)</f>
        <v/>
      </c>
      <c r="G495" s="11">
        <f>IF(E495="","",MIN(E495,MAX(0,10000-F494))*0.45+MAX(0,E495-MAX(0,10000-F494))*0.25)</f>
        <v/>
      </c>
    </row>
    <row r="496">
      <c r="A496" s="9" t="n"/>
      <c r="F496">
        <f>IF(E496="",F495,F495+E496)</f>
        <v/>
      </c>
      <c r="G496" s="11">
        <f>IF(E496="","",MIN(E496,MAX(0,10000-F495))*0.45+MAX(0,E496-MAX(0,10000-F495))*0.25)</f>
        <v/>
      </c>
    </row>
    <row r="497">
      <c r="A497" s="9" t="n"/>
      <c r="F497">
        <f>IF(E497="",F496,F496+E497)</f>
        <v/>
      </c>
      <c r="G497" s="11">
        <f>IF(E497="","",MIN(E497,MAX(0,10000-F496))*0.45+MAX(0,E497-MAX(0,10000-F496))*0.25)</f>
        <v/>
      </c>
    </row>
    <row r="498">
      <c r="A498" s="9" t="n"/>
      <c r="F498">
        <f>IF(E498="",F497,F497+E498)</f>
        <v/>
      </c>
      <c r="G498" s="11">
        <f>IF(E498="","",MIN(E498,MAX(0,10000-F497))*0.45+MAX(0,E498-MAX(0,10000-F497))*0.25)</f>
        <v/>
      </c>
    </row>
    <row r="499">
      <c r="A499" s="9" t="n"/>
      <c r="F499">
        <f>IF(E499="",F498,F498+E499)</f>
        <v/>
      </c>
      <c r="G499" s="11">
        <f>IF(E499="","",MIN(E499,MAX(0,10000-F498))*0.45+MAX(0,E499-MAX(0,10000-F498))*0.25)</f>
        <v/>
      </c>
    </row>
    <row r="500">
      <c r="A500" s="9" t="n"/>
      <c r="F500">
        <f>IF(E500="",F499,F499+E500)</f>
        <v/>
      </c>
      <c r="G500" s="11">
        <f>IF(E500="","",MIN(E500,MAX(0,10000-F499))*0.45+MAX(0,E500-MAX(0,10000-F499))*0.25)</f>
        <v/>
      </c>
    </row>
    <row r="501">
      <c r="A501" s="9" t="n"/>
      <c r="F501">
        <f>IF(E501="",F500,F500+E501)</f>
        <v/>
      </c>
      <c r="G501" s="11">
        <f>IF(E501="","",MIN(E501,MAX(0,10000-F500))*0.45+MAX(0,E501-MAX(0,10000-F500))*0.25)</f>
        <v/>
      </c>
    </row>
    <row r="502">
      <c r="A502" s="9" t="n"/>
      <c r="F502">
        <f>IF(E502="",F501,F501+E502)</f>
        <v/>
      </c>
      <c r="G502" s="11">
        <f>IF(E502="","",MIN(E502,MAX(0,10000-F501))*0.45+MAX(0,E502-MAX(0,10000-F501))*0.25)</f>
        <v/>
      </c>
    </row>
    <row r="503">
      <c r="A503" s="9" t="n"/>
      <c r="F503">
        <f>IF(E503="",F502,F502+E503)</f>
        <v/>
      </c>
      <c r="G503" s="11">
        <f>IF(E503="","",MIN(E503,MAX(0,10000-F502))*0.45+MAX(0,E503-MAX(0,10000-F502))*0.25)</f>
        <v/>
      </c>
    </row>
    <row r="504">
      <c r="A504" s="9" t="n"/>
      <c r="F504">
        <f>IF(E504="",F503,F503+E504)</f>
        <v/>
      </c>
      <c r="G504" s="11">
        <f>IF(E504="","",MIN(E504,MAX(0,10000-F503))*0.45+MAX(0,E504-MAX(0,10000-F503))*0.25)</f>
        <v/>
      </c>
    </row>
    <row r="505">
      <c r="A505" s="9" t="n"/>
      <c r="F505">
        <f>IF(E505="",F504,F504+E505)</f>
        <v/>
      </c>
      <c r="G505" s="11">
        <f>IF(E505="","",MIN(E505,MAX(0,10000-F504))*0.45+MAX(0,E505-MAX(0,10000-F504))*0.25)</f>
        <v/>
      </c>
    </row>
    <row r="506">
      <c r="A506" s="9" t="n"/>
      <c r="F506">
        <f>IF(E506="",F505,F505+E506)</f>
        <v/>
      </c>
      <c r="G506" s="11">
        <f>IF(E506="","",MIN(E506,MAX(0,10000-F505))*0.45+MAX(0,E506-MAX(0,10000-F505))*0.25)</f>
        <v/>
      </c>
    </row>
    <row r="507">
      <c r="A507" s="9" t="n"/>
      <c r="F507">
        <f>IF(E507="",F506,F506+E507)</f>
        <v/>
      </c>
      <c r="G507" s="11">
        <f>IF(E507="","",MIN(E507,MAX(0,10000-F506))*0.45+MAX(0,E507-MAX(0,10000-F506))*0.25)</f>
        <v/>
      </c>
    </row>
    <row r="508">
      <c r="A508" s="9" t="n"/>
      <c r="F508">
        <f>IF(E508="",F507,F507+E508)</f>
        <v/>
      </c>
      <c r="G508" s="11">
        <f>IF(E508="","",MIN(E508,MAX(0,10000-F507))*0.45+MAX(0,E508-MAX(0,10000-F507))*0.25)</f>
        <v/>
      </c>
    </row>
    <row r="509">
      <c r="A509" s="9" t="n"/>
      <c r="F509">
        <f>IF(E509="",F508,F508+E509)</f>
        <v/>
      </c>
      <c r="G509" s="11">
        <f>IF(E509="","",MIN(E509,MAX(0,10000-F508))*0.45+MAX(0,E509-MAX(0,10000-F508))*0.25)</f>
        <v/>
      </c>
    </row>
    <row r="510">
      <c r="A510" s="9" t="n"/>
      <c r="F510">
        <f>IF(E510="",F509,F509+E510)</f>
        <v/>
      </c>
      <c r="G510" s="11">
        <f>IF(E510="","",MIN(E510,MAX(0,10000-F509))*0.45+MAX(0,E510-MAX(0,10000-F509))*0.25)</f>
        <v/>
      </c>
    </row>
    <row r="511">
      <c r="A511" s="9" t="n"/>
      <c r="F511">
        <f>IF(E511="",F510,F510+E511)</f>
        <v/>
      </c>
      <c r="G511" s="11">
        <f>IF(E511="","",MIN(E511,MAX(0,10000-F510))*0.45+MAX(0,E511-MAX(0,10000-F510))*0.25)</f>
        <v/>
      </c>
    </row>
    <row r="512">
      <c r="A512" s="9" t="n"/>
      <c r="F512">
        <f>IF(E512="",F511,F511+E512)</f>
        <v/>
      </c>
      <c r="G512" s="11">
        <f>IF(E512="","",MIN(E512,MAX(0,10000-F511))*0.45+MAX(0,E512-MAX(0,10000-F511))*0.25)</f>
        <v/>
      </c>
    </row>
    <row r="513">
      <c r="A513" s="9" t="n"/>
      <c r="F513">
        <f>IF(E513="",F512,F512+E513)</f>
        <v/>
      </c>
      <c r="G513" s="11">
        <f>IF(E513="","",MIN(E513,MAX(0,10000-F512))*0.45+MAX(0,E513-MAX(0,10000-F512))*0.25)</f>
        <v/>
      </c>
    </row>
    <row r="514">
      <c r="A514" s="9" t="n"/>
      <c r="F514">
        <f>IF(E514="",F513,F513+E514)</f>
        <v/>
      </c>
      <c r="G514" s="11">
        <f>IF(E514="","",MIN(E514,MAX(0,10000-F513))*0.45+MAX(0,E514-MAX(0,10000-F513))*0.25)</f>
        <v/>
      </c>
    </row>
    <row r="515">
      <c r="A515" s="9" t="n"/>
      <c r="F515">
        <f>IF(E515="",F514,F514+E515)</f>
        <v/>
      </c>
      <c r="G515" s="11">
        <f>IF(E515="","",MIN(E515,MAX(0,10000-F514))*0.45+MAX(0,E515-MAX(0,10000-F514))*0.25)</f>
        <v/>
      </c>
    </row>
    <row r="516">
      <c r="A516" s="9" t="n"/>
      <c r="F516">
        <f>IF(E516="",F515,F515+E516)</f>
        <v/>
      </c>
      <c r="G516" s="11">
        <f>IF(E516="","",MIN(E516,MAX(0,10000-F515))*0.45+MAX(0,E516-MAX(0,10000-F515))*0.25)</f>
        <v/>
      </c>
    </row>
    <row r="517">
      <c r="A517" s="9" t="n"/>
      <c r="F517">
        <f>IF(E517="",F516,F516+E517)</f>
        <v/>
      </c>
      <c r="G517" s="11">
        <f>IF(E517="","",MIN(E517,MAX(0,10000-F516))*0.45+MAX(0,E517-MAX(0,10000-F516))*0.25)</f>
        <v/>
      </c>
    </row>
    <row r="518">
      <c r="A518" s="9" t="n"/>
      <c r="F518">
        <f>IF(E518="",F517,F517+E518)</f>
        <v/>
      </c>
      <c r="G518" s="11">
        <f>IF(E518="","",MIN(E518,MAX(0,10000-F517))*0.45+MAX(0,E518-MAX(0,10000-F517))*0.25)</f>
        <v/>
      </c>
    </row>
    <row r="519">
      <c r="A519" s="9" t="n"/>
      <c r="F519">
        <f>IF(E519="",F518,F518+E519)</f>
        <v/>
      </c>
      <c r="G519" s="11">
        <f>IF(E519="","",MIN(E519,MAX(0,10000-F518))*0.45+MAX(0,E519-MAX(0,10000-F518))*0.25)</f>
        <v/>
      </c>
    </row>
    <row r="520">
      <c r="A520" s="9" t="n"/>
      <c r="F520">
        <f>IF(E520="",F519,F519+E520)</f>
        <v/>
      </c>
      <c r="G520" s="11">
        <f>IF(E520="","",MIN(E520,MAX(0,10000-F519))*0.45+MAX(0,E520-MAX(0,10000-F519))*0.25)</f>
        <v/>
      </c>
    </row>
    <row r="521">
      <c r="A521" s="9" t="n"/>
      <c r="F521">
        <f>IF(E521="",F520,F520+E521)</f>
        <v/>
      </c>
      <c r="G521" s="11">
        <f>IF(E521="","",MIN(E521,MAX(0,10000-F520))*0.45+MAX(0,E521-MAX(0,10000-F520))*0.25)</f>
        <v/>
      </c>
    </row>
    <row r="522">
      <c r="A522" s="9" t="n"/>
      <c r="F522">
        <f>IF(E522="",F521,F521+E522)</f>
        <v/>
      </c>
      <c r="G522" s="11">
        <f>IF(E522="","",MIN(E522,MAX(0,10000-F521))*0.45+MAX(0,E522-MAX(0,10000-F521))*0.25)</f>
        <v/>
      </c>
    </row>
    <row r="523">
      <c r="A523" s="9" t="n"/>
      <c r="F523">
        <f>IF(E523="",F522,F522+E523)</f>
        <v/>
      </c>
      <c r="G523" s="11">
        <f>IF(E523="","",MIN(E523,MAX(0,10000-F522))*0.45+MAX(0,E523-MAX(0,10000-F522))*0.25)</f>
        <v/>
      </c>
    </row>
    <row r="524">
      <c r="A524" s="9" t="n"/>
      <c r="F524">
        <f>IF(E524="",F523,F523+E524)</f>
        <v/>
      </c>
      <c r="G524" s="11">
        <f>IF(E524="","",MIN(E524,MAX(0,10000-F523))*0.45+MAX(0,E524-MAX(0,10000-F523))*0.25)</f>
        <v/>
      </c>
    </row>
    <row r="525">
      <c r="A525" s="9" t="n"/>
      <c r="F525">
        <f>IF(E525="",F524,F524+E525)</f>
        <v/>
      </c>
      <c r="G525" s="11">
        <f>IF(E525="","",MIN(E525,MAX(0,10000-F524))*0.45+MAX(0,E525-MAX(0,10000-F524))*0.25)</f>
        <v/>
      </c>
    </row>
    <row r="526">
      <c r="A526" s="9" t="n"/>
      <c r="F526">
        <f>IF(E526="",F525,F525+E526)</f>
        <v/>
      </c>
      <c r="G526" s="11">
        <f>IF(E526="","",MIN(E526,MAX(0,10000-F525))*0.45+MAX(0,E526-MAX(0,10000-F525))*0.25)</f>
        <v/>
      </c>
    </row>
    <row r="527">
      <c r="A527" s="9" t="n"/>
      <c r="F527">
        <f>IF(E527="",F526,F526+E527)</f>
        <v/>
      </c>
      <c r="G527" s="11">
        <f>IF(E527="","",MIN(E527,MAX(0,10000-F526))*0.45+MAX(0,E527-MAX(0,10000-F526))*0.25)</f>
        <v/>
      </c>
    </row>
    <row r="528">
      <c r="A528" s="9" t="n"/>
      <c r="F528">
        <f>IF(E528="",F527,F527+E528)</f>
        <v/>
      </c>
      <c r="G528" s="11">
        <f>IF(E528="","",MIN(E528,MAX(0,10000-F527))*0.45+MAX(0,E528-MAX(0,10000-F527))*0.25)</f>
        <v/>
      </c>
    </row>
    <row r="529">
      <c r="A529" s="9" t="n"/>
      <c r="F529">
        <f>IF(E529="",F528,F528+E529)</f>
        <v/>
      </c>
      <c r="G529" s="11">
        <f>IF(E529="","",MIN(E529,MAX(0,10000-F528))*0.45+MAX(0,E529-MAX(0,10000-F528))*0.25)</f>
        <v/>
      </c>
    </row>
    <row r="530">
      <c r="A530" s="9" t="n"/>
      <c r="F530">
        <f>IF(E530="",F529,F529+E530)</f>
        <v/>
      </c>
      <c r="G530" s="11">
        <f>IF(E530="","",MIN(E530,MAX(0,10000-F529))*0.45+MAX(0,E530-MAX(0,10000-F529))*0.25)</f>
        <v/>
      </c>
    </row>
    <row r="531">
      <c r="A531" s="9" t="n"/>
      <c r="F531">
        <f>IF(E531="",F530,F530+E531)</f>
        <v/>
      </c>
      <c r="G531" s="11">
        <f>IF(E531="","",MIN(E531,MAX(0,10000-F530))*0.45+MAX(0,E531-MAX(0,10000-F530))*0.25)</f>
        <v/>
      </c>
    </row>
    <row r="532">
      <c r="A532" s="9" t="n"/>
      <c r="F532">
        <f>IF(E532="",F531,F531+E532)</f>
        <v/>
      </c>
      <c r="G532" s="11">
        <f>IF(E532="","",MIN(E532,MAX(0,10000-F531))*0.45+MAX(0,E532-MAX(0,10000-F531))*0.25)</f>
        <v/>
      </c>
    </row>
    <row r="533">
      <c r="A533" s="9" t="n"/>
      <c r="F533">
        <f>IF(E533="",F532,F532+E533)</f>
        <v/>
      </c>
      <c r="G533" s="11">
        <f>IF(E533="","",MIN(E533,MAX(0,10000-F532))*0.45+MAX(0,E533-MAX(0,10000-F532))*0.25)</f>
        <v/>
      </c>
    </row>
    <row r="534">
      <c r="A534" s="9" t="n"/>
      <c r="F534">
        <f>IF(E534="",F533,F533+E534)</f>
        <v/>
      </c>
      <c r="G534" s="11">
        <f>IF(E534="","",MIN(E534,MAX(0,10000-F533))*0.45+MAX(0,E534-MAX(0,10000-F533))*0.25)</f>
        <v/>
      </c>
    </row>
    <row r="535">
      <c r="A535" s="9" t="n"/>
      <c r="F535">
        <f>IF(E535="",F534,F534+E535)</f>
        <v/>
      </c>
      <c r="G535" s="11">
        <f>IF(E535="","",MIN(E535,MAX(0,10000-F534))*0.45+MAX(0,E535-MAX(0,10000-F534))*0.25)</f>
        <v/>
      </c>
    </row>
    <row r="536">
      <c r="A536" s="9" t="n"/>
      <c r="F536">
        <f>IF(E536="",F535,F535+E536)</f>
        <v/>
      </c>
      <c r="G536" s="11">
        <f>IF(E536="","",MIN(E536,MAX(0,10000-F535))*0.45+MAX(0,E536-MAX(0,10000-F535))*0.25)</f>
        <v/>
      </c>
    </row>
    <row r="537">
      <c r="A537" s="9" t="n"/>
      <c r="F537">
        <f>IF(E537="",F536,F536+E537)</f>
        <v/>
      </c>
      <c r="G537" s="11">
        <f>IF(E537="","",MIN(E537,MAX(0,10000-F536))*0.45+MAX(0,E537-MAX(0,10000-F536))*0.25)</f>
        <v/>
      </c>
    </row>
    <row r="538">
      <c r="A538" s="9" t="n"/>
      <c r="F538">
        <f>IF(E538="",F537,F537+E538)</f>
        <v/>
      </c>
      <c r="G538" s="11">
        <f>IF(E538="","",MIN(E538,MAX(0,10000-F537))*0.45+MAX(0,E538-MAX(0,10000-F537))*0.25)</f>
        <v/>
      </c>
    </row>
    <row r="539">
      <c r="A539" s="9" t="n"/>
      <c r="F539">
        <f>IF(E539="",F538,F538+E539)</f>
        <v/>
      </c>
      <c r="G539" s="11">
        <f>IF(E539="","",MIN(E539,MAX(0,10000-F538))*0.45+MAX(0,E539-MAX(0,10000-F538))*0.25)</f>
        <v/>
      </c>
    </row>
    <row r="540">
      <c r="A540" s="9" t="n"/>
      <c r="F540">
        <f>IF(E540="",F539,F539+E540)</f>
        <v/>
      </c>
      <c r="G540" s="11">
        <f>IF(E540="","",MIN(E540,MAX(0,10000-F539))*0.45+MAX(0,E540-MAX(0,10000-F539))*0.25)</f>
        <v/>
      </c>
    </row>
    <row r="541">
      <c r="A541" s="9" t="n"/>
      <c r="F541">
        <f>IF(E541="",F540,F540+E541)</f>
        <v/>
      </c>
      <c r="G541" s="11">
        <f>IF(E541="","",MIN(E541,MAX(0,10000-F540))*0.45+MAX(0,E541-MAX(0,10000-F540))*0.25)</f>
        <v/>
      </c>
    </row>
    <row r="542">
      <c r="A542" s="9" t="n"/>
      <c r="F542">
        <f>IF(E542="",F541,F541+E542)</f>
        <v/>
      </c>
      <c r="G542" s="11">
        <f>IF(E542="","",MIN(E542,MAX(0,10000-F541))*0.45+MAX(0,E542-MAX(0,10000-F541))*0.25)</f>
        <v/>
      </c>
    </row>
    <row r="543">
      <c r="A543" s="9" t="n"/>
      <c r="F543">
        <f>IF(E543="",F542,F542+E543)</f>
        <v/>
      </c>
      <c r="G543" s="11">
        <f>IF(E543="","",MIN(E543,MAX(0,10000-F542))*0.45+MAX(0,E543-MAX(0,10000-F542))*0.25)</f>
        <v/>
      </c>
    </row>
    <row r="544">
      <c r="A544" s="9" t="n"/>
      <c r="F544">
        <f>IF(E544="",F543,F543+E544)</f>
        <v/>
      </c>
      <c r="G544" s="11">
        <f>IF(E544="","",MIN(E544,MAX(0,10000-F543))*0.45+MAX(0,E544-MAX(0,10000-F543))*0.25)</f>
        <v/>
      </c>
    </row>
    <row r="545">
      <c r="A545" s="9" t="n"/>
      <c r="F545">
        <f>IF(E545="",F544,F544+E545)</f>
        <v/>
      </c>
      <c r="G545" s="11">
        <f>IF(E545="","",MIN(E545,MAX(0,10000-F544))*0.45+MAX(0,E545-MAX(0,10000-F544))*0.25)</f>
        <v/>
      </c>
    </row>
    <row r="546">
      <c r="A546" s="9" t="n"/>
      <c r="F546">
        <f>IF(E546="",F545,F545+E546)</f>
        <v/>
      </c>
      <c r="G546" s="11">
        <f>IF(E546="","",MIN(E546,MAX(0,10000-F545))*0.45+MAX(0,E546-MAX(0,10000-F545))*0.25)</f>
        <v/>
      </c>
    </row>
    <row r="547">
      <c r="A547" s="9" t="n"/>
      <c r="F547">
        <f>IF(E547="",F546,F546+E547)</f>
        <v/>
      </c>
      <c r="G547" s="11">
        <f>IF(E547="","",MIN(E547,MAX(0,10000-F546))*0.45+MAX(0,E547-MAX(0,10000-F546))*0.25)</f>
        <v/>
      </c>
    </row>
    <row r="548">
      <c r="A548" s="9" t="n"/>
      <c r="F548">
        <f>IF(E548="",F547,F547+E548)</f>
        <v/>
      </c>
      <c r="G548" s="11">
        <f>IF(E548="","",MIN(E548,MAX(0,10000-F547))*0.45+MAX(0,E548-MAX(0,10000-F547))*0.25)</f>
        <v/>
      </c>
    </row>
    <row r="549">
      <c r="A549" s="9" t="n"/>
      <c r="F549">
        <f>IF(E549="",F548,F548+E549)</f>
        <v/>
      </c>
      <c r="G549" s="11">
        <f>IF(E549="","",MIN(E549,MAX(0,10000-F548))*0.45+MAX(0,E549-MAX(0,10000-F548))*0.25)</f>
        <v/>
      </c>
    </row>
    <row r="550">
      <c r="A550" s="9" t="n"/>
      <c r="F550">
        <f>IF(E550="",F549,F549+E550)</f>
        <v/>
      </c>
      <c r="G550" s="11">
        <f>IF(E550="","",MIN(E550,MAX(0,10000-F549))*0.45+MAX(0,E550-MAX(0,10000-F549))*0.25)</f>
        <v/>
      </c>
    </row>
    <row r="551">
      <c r="A551" s="9" t="n"/>
      <c r="F551">
        <f>IF(E551="",F550,F550+E551)</f>
        <v/>
      </c>
      <c r="G551" s="11">
        <f>IF(E551="","",MIN(E551,MAX(0,10000-F550))*0.45+MAX(0,E551-MAX(0,10000-F550))*0.25)</f>
        <v/>
      </c>
    </row>
    <row r="552">
      <c r="A552" s="9" t="n"/>
      <c r="F552">
        <f>IF(E552="",F551,F551+E552)</f>
        <v/>
      </c>
      <c r="G552" s="11">
        <f>IF(E552="","",MIN(E552,MAX(0,10000-F551))*0.45+MAX(0,E552-MAX(0,10000-F551))*0.25)</f>
        <v/>
      </c>
    </row>
    <row r="553">
      <c r="A553" s="9" t="n"/>
      <c r="F553">
        <f>IF(E553="",F552,F552+E553)</f>
        <v/>
      </c>
      <c r="G553" s="11">
        <f>IF(E553="","",MIN(E553,MAX(0,10000-F552))*0.45+MAX(0,E553-MAX(0,10000-F552))*0.25)</f>
        <v/>
      </c>
    </row>
    <row r="554">
      <c r="A554" s="9" t="n"/>
      <c r="F554">
        <f>IF(E554="",F553,F553+E554)</f>
        <v/>
      </c>
      <c r="G554" s="11">
        <f>IF(E554="","",MIN(E554,MAX(0,10000-F553))*0.45+MAX(0,E554-MAX(0,10000-F553))*0.25)</f>
        <v/>
      </c>
    </row>
    <row r="555">
      <c r="A555" s="9" t="n"/>
      <c r="F555">
        <f>IF(E555="",F554,F554+E555)</f>
        <v/>
      </c>
      <c r="G555" s="11">
        <f>IF(E555="","",MIN(E555,MAX(0,10000-F554))*0.45+MAX(0,E555-MAX(0,10000-F554))*0.25)</f>
        <v/>
      </c>
    </row>
    <row r="556">
      <c r="A556" s="9" t="n"/>
      <c r="F556">
        <f>IF(E556="",F555,F555+E556)</f>
        <v/>
      </c>
      <c r="G556" s="11">
        <f>IF(E556="","",MIN(E556,MAX(0,10000-F555))*0.45+MAX(0,E556-MAX(0,10000-F555))*0.25)</f>
        <v/>
      </c>
    </row>
    <row r="557">
      <c r="A557" s="9" t="n"/>
      <c r="F557">
        <f>IF(E557="",F556,F556+E557)</f>
        <v/>
      </c>
      <c r="G557" s="11">
        <f>IF(E557="","",MIN(E557,MAX(0,10000-F556))*0.45+MAX(0,E557-MAX(0,10000-F556))*0.25)</f>
        <v/>
      </c>
    </row>
    <row r="558">
      <c r="A558" s="9" t="n"/>
      <c r="F558">
        <f>IF(E558="",F557,F557+E558)</f>
        <v/>
      </c>
      <c r="G558" s="11">
        <f>IF(E558="","",MIN(E558,MAX(0,10000-F557))*0.45+MAX(0,E558-MAX(0,10000-F557))*0.25)</f>
        <v/>
      </c>
    </row>
    <row r="559">
      <c r="A559" s="9" t="n"/>
      <c r="F559">
        <f>IF(E559="",F558,F558+E559)</f>
        <v/>
      </c>
      <c r="G559" s="11">
        <f>IF(E559="","",MIN(E559,MAX(0,10000-F558))*0.45+MAX(0,E559-MAX(0,10000-F558))*0.25)</f>
        <v/>
      </c>
    </row>
    <row r="560">
      <c r="A560" s="9" t="n"/>
      <c r="F560">
        <f>IF(E560="",F559,F559+E560)</f>
        <v/>
      </c>
      <c r="G560" s="11">
        <f>IF(E560="","",MIN(E560,MAX(0,10000-F559))*0.45+MAX(0,E560-MAX(0,10000-F559))*0.25)</f>
        <v/>
      </c>
    </row>
    <row r="561">
      <c r="A561" s="9" t="n"/>
      <c r="F561">
        <f>IF(E561="",F560,F560+E561)</f>
        <v/>
      </c>
      <c r="G561" s="11">
        <f>IF(E561="","",MIN(E561,MAX(0,10000-F560))*0.45+MAX(0,E561-MAX(0,10000-F560))*0.25)</f>
        <v/>
      </c>
    </row>
    <row r="562">
      <c r="A562" s="9" t="n"/>
      <c r="F562">
        <f>IF(E562="",F561,F561+E562)</f>
        <v/>
      </c>
      <c r="G562" s="11">
        <f>IF(E562="","",MIN(E562,MAX(0,10000-F561))*0.45+MAX(0,E562-MAX(0,10000-F561))*0.25)</f>
        <v/>
      </c>
    </row>
    <row r="563">
      <c r="A563" s="9" t="n"/>
      <c r="F563">
        <f>IF(E563="",F562,F562+E563)</f>
        <v/>
      </c>
      <c r="G563" s="11">
        <f>IF(E563="","",MIN(E563,MAX(0,10000-F562))*0.45+MAX(0,E563-MAX(0,10000-F562))*0.25)</f>
        <v/>
      </c>
    </row>
    <row r="564">
      <c r="A564" s="9" t="n"/>
      <c r="F564">
        <f>IF(E564="",F563,F563+E564)</f>
        <v/>
      </c>
      <c r="G564" s="11">
        <f>IF(E564="","",MIN(E564,MAX(0,10000-F563))*0.45+MAX(0,E564-MAX(0,10000-F563))*0.25)</f>
        <v/>
      </c>
    </row>
    <row r="565">
      <c r="A565" s="9" t="n"/>
      <c r="F565">
        <f>IF(E565="",F564,F564+E565)</f>
        <v/>
      </c>
      <c r="G565" s="11">
        <f>IF(E565="","",MIN(E565,MAX(0,10000-F564))*0.45+MAX(0,E565-MAX(0,10000-F564))*0.25)</f>
        <v/>
      </c>
    </row>
    <row r="566">
      <c r="A566" s="9" t="n"/>
      <c r="F566">
        <f>IF(E566="",F565,F565+E566)</f>
        <v/>
      </c>
      <c r="G566" s="11">
        <f>IF(E566="","",MIN(E566,MAX(0,10000-F565))*0.45+MAX(0,E566-MAX(0,10000-F565))*0.25)</f>
        <v/>
      </c>
    </row>
    <row r="567">
      <c r="A567" s="9" t="n"/>
      <c r="F567">
        <f>IF(E567="",F566,F566+E567)</f>
        <v/>
      </c>
      <c r="G567" s="11">
        <f>IF(E567="","",MIN(E567,MAX(0,10000-F566))*0.45+MAX(0,E567-MAX(0,10000-F566))*0.25)</f>
        <v/>
      </c>
    </row>
    <row r="568">
      <c r="A568" s="9" t="n"/>
      <c r="F568">
        <f>IF(E568="",F567,F567+E568)</f>
        <v/>
      </c>
      <c r="G568" s="11">
        <f>IF(E568="","",MIN(E568,MAX(0,10000-F567))*0.45+MAX(0,E568-MAX(0,10000-F567))*0.25)</f>
        <v/>
      </c>
    </row>
    <row r="569">
      <c r="A569" s="9" t="n"/>
      <c r="F569">
        <f>IF(E569="",F568,F568+E569)</f>
        <v/>
      </c>
      <c r="G569" s="11">
        <f>IF(E569="","",MIN(E569,MAX(0,10000-F568))*0.45+MAX(0,E569-MAX(0,10000-F568))*0.25)</f>
        <v/>
      </c>
    </row>
    <row r="570">
      <c r="A570" s="9" t="n"/>
      <c r="F570">
        <f>IF(E570="",F569,F569+E570)</f>
        <v/>
      </c>
      <c r="G570" s="11">
        <f>IF(E570="","",MIN(E570,MAX(0,10000-F569))*0.45+MAX(0,E570-MAX(0,10000-F569))*0.25)</f>
        <v/>
      </c>
    </row>
    <row r="571">
      <c r="A571" s="9" t="n"/>
      <c r="F571">
        <f>IF(E571="",F570,F570+E571)</f>
        <v/>
      </c>
      <c r="G571" s="11">
        <f>IF(E571="","",MIN(E571,MAX(0,10000-F570))*0.45+MAX(0,E571-MAX(0,10000-F570))*0.25)</f>
        <v/>
      </c>
    </row>
    <row r="572">
      <c r="A572" s="9" t="n"/>
      <c r="F572">
        <f>IF(E572="",F571,F571+E572)</f>
        <v/>
      </c>
      <c r="G572" s="11">
        <f>IF(E572="","",MIN(E572,MAX(0,10000-F571))*0.45+MAX(0,E572-MAX(0,10000-F571))*0.25)</f>
        <v/>
      </c>
    </row>
    <row r="573">
      <c r="A573" s="9" t="n"/>
      <c r="F573">
        <f>IF(E573="",F572,F572+E573)</f>
        <v/>
      </c>
      <c r="G573" s="11">
        <f>IF(E573="","",MIN(E573,MAX(0,10000-F572))*0.45+MAX(0,E573-MAX(0,10000-F572))*0.25)</f>
        <v/>
      </c>
    </row>
    <row r="574">
      <c r="A574" s="9" t="n"/>
      <c r="F574">
        <f>IF(E574="",F573,F573+E574)</f>
        <v/>
      </c>
      <c r="G574" s="11">
        <f>IF(E574="","",MIN(E574,MAX(0,10000-F573))*0.45+MAX(0,E574-MAX(0,10000-F573))*0.25)</f>
        <v/>
      </c>
    </row>
    <row r="575">
      <c r="A575" s="9" t="n"/>
      <c r="F575">
        <f>IF(E575="",F574,F574+E575)</f>
        <v/>
      </c>
      <c r="G575" s="11">
        <f>IF(E575="","",MIN(E575,MAX(0,10000-F574))*0.45+MAX(0,E575-MAX(0,10000-F574))*0.25)</f>
        <v/>
      </c>
    </row>
    <row r="576">
      <c r="A576" s="9" t="n"/>
      <c r="F576">
        <f>IF(E576="",F575,F575+E576)</f>
        <v/>
      </c>
      <c r="G576" s="11">
        <f>IF(E576="","",MIN(E576,MAX(0,10000-F575))*0.45+MAX(0,E576-MAX(0,10000-F575))*0.25)</f>
        <v/>
      </c>
    </row>
    <row r="577">
      <c r="A577" s="9" t="n"/>
      <c r="F577">
        <f>IF(E577="",F576,F576+E577)</f>
        <v/>
      </c>
      <c r="G577" s="11">
        <f>IF(E577="","",MIN(E577,MAX(0,10000-F576))*0.45+MAX(0,E577-MAX(0,10000-F576))*0.25)</f>
        <v/>
      </c>
    </row>
    <row r="578">
      <c r="A578" s="9" t="n"/>
      <c r="F578">
        <f>IF(E578="",F577,F577+E578)</f>
        <v/>
      </c>
      <c r="G578" s="11">
        <f>IF(E578="","",MIN(E578,MAX(0,10000-F577))*0.45+MAX(0,E578-MAX(0,10000-F577))*0.25)</f>
        <v/>
      </c>
    </row>
    <row r="579">
      <c r="A579" s="9" t="n"/>
      <c r="F579">
        <f>IF(E579="",F578,F578+E579)</f>
        <v/>
      </c>
      <c r="G579" s="11">
        <f>IF(E579="","",MIN(E579,MAX(0,10000-F578))*0.45+MAX(0,E579-MAX(0,10000-F578))*0.25)</f>
        <v/>
      </c>
    </row>
    <row r="580">
      <c r="A580" s="9" t="n"/>
      <c r="F580">
        <f>IF(E580="",F579,F579+E580)</f>
        <v/>
      </c>
      <c r="G580" s="11">
        <f>IF(E580="","",MIN(E580,MAX(0,10000-F579))*0.45+MAX(0,E580-MAX(0,10000-F579))*0.25)</f>
        <v/>
      </c>
    </row>
    <row r="581">
      <c r="A581" s="9" t="n"/>
      <c r="F581">
        <f>IF(E581="",F580,F580+E581)</f>
        <v/>
      </c>
      <c r="G581" s="11">
        <f>IF(E581="","",MIN(E581,MAX(0,10000-F580))*0.45+MAX(0,E581-MAX(0,10000-F580))*0.25)</f>
        <v/>
      </c>
    </row>
    <row r="582">
      <c r="A582" s="9" t="n"/>
      <c r="F582">
        <f>IF(E582="",F581,F581+E582)</f>
        <v/>
      </c>
      <c r="G582" s="11">
        <f>IF(E582="","",MIN(E582,MAX(0,10000-F581))*0.45+MAX(0,E582-MAX(0,10000-F581))*0.25)</f>
        <v/>
      </c>
    </row>
    <row r="583">
      <c r="A583" s="9" t="n"/>
      <c r="F583">
        <f>IF(E583="",F582,F582+E583)</f>
        <v/>
      </c>
      <c r="G583" s="11">
        <f>IF(E583="","",MIN(E583,MAX(0,10000-F582))*0.45+MAX(0,E583-MAX(0,10000-F582))*0.25)</f>
        <v/>
      </c>
    </row>
    <row r="584">
      <c r="A584" s="9" t="n"/>
      <c r="F584">
        <f>IF(E584="",F583,F583+E584)</f>
        <v/>
      </c>
      <c r="G584" s="11">
        <f>IF(E584="","",MIN(E584,MAX(0,10000-F583))*0.45+MAX(0,E584-MAX(0,10000-F583))*0.25)</f>
        <v/>
      </c>
    </row>
    <row r="585">
      <c r="A585" s="9" t="n"/>
      <c r="F585">
        <f>IF(E585="",F584,F584+E585)</f>
        <v/>
      </c>
      <c r="G585" s="11">
        <f>IF(E585="","",MIN(E585,MAX(0,10000-F584))*0.45+MAX(0,E585-MAX(0,10000-F584))*0.25)</f>
        <v/>
      </c>
    </row>
    <row r="586">
      <c r="A586" s="9" t="n"/>
      <c r="F586">
        <f>IF(E586="",F585,F585+E586)</f>
        <v/>
      </c>
      <c r="G586" s="11">
        <f>IF(E586="","",MIN(E586,MAX(0,10000-F585))*0.45+MAX(0,E586-MAX(0,10000-F585))*0.25)</f>
        <v/>
      </c>
    </row>
    <row r="587">
      <c r="A587" s="9" t="n"/>
      <c r="F587">
        <f>IF(E587="",F586,F586+E587)</f>
        <v/>
      </c>
      <c r="G587" s="11">
        <f>IF(E587="","",MIN(E587,MAX(0,10000-F586))*0.45+MAX(0,E587-MAX(0,10000-F586))*0.25)</f>
        <v/>
      </c>
    </row>
    <row r="588">
      <c r="A588" s="9" t="n"/>
      <c r="F588">
        <f>IF(E588="",F587,F587+E588)</f>
        <v/>
      </c>
      <c r="G588" s="11">
        <f>IF(E588="","",MIN(E588,MAX(0,10000-F587))*0.45+MAX(0,E588-MAX(0,10000-F587))*0.25)</f>
        <v/>
      </c>
    </row>
    <row r="589">
      <c r="A589" s="9" t="n"/>
      <c r="F589">
        <f>IF(E589="",F588,F588+E589)</f>
        <v/>
      </c>
      <c r="G589" s="11">
        <f>IF(E589="","",MIN(E589,MAX(0,10000-F588))*0.45+MAX(0,E589-MAX(0,10000-F588))*0.25)</f>
        <v/>
      </c>
    </row>
    <row r="590">
      <c r="A590" s="9" t="n"/>
      <c r="F590">
        <f>IF(E590="",F589,F589+E590)</f>
        <v/>
      </c>
      <c r="G590" s="11">
        <f>IF(E590="","",MIN(E590,MAX(0,10000-F589))*0.45+MAX(0,E590-MAX(0,10000-F589))*0.25)</f>
        <v/>
      </c>
    </row>
    <row r="591">
      <c r="A591" s="9" t="n"/>
      <c r="F591">
        <f>IF(E591="",F590,F590+E591)</f>
        <v/>
      </c>
      <c r="G591" s="11">
        <f>IF(E591="","",MIN(E591,MAX(0,10000-F590))*0.45+MAX(0,E591-MAX(0,10000-F590))*0.25)</f>
        <v/>
      </c>
    </row>
    <row r="592">
      <c r="A592" s="9" t="n"/>
      <c r="F592">
        <f>IF(E592="",F591,F591+E592)</f>
        <v/>
      </c>
      <c r="G592" s="11">
        <f>IF(E592="","",MIN(E592,MAX(0,10000-F591))*0.45+MAX(0,E592-MAX(0,10000-F591))*0.25)</f>
        <v/>
      </c>
    </row>
    <row r="593">
      <c r="A593" s="9" t="n"/>
      <c r="F593">
        <f>IF(E593="",F592,F592+E593)</f>
        <v/>
      </c>
      <c r="G593" s="11">
        <f>IF(E593="","",MIN(E593,MAX(0,10000-F592))*0.45+MAX(0,E593-MAX(0,10000-F592))*0.25)</f>
        <v/>
      </c>
    </row>
    <row r="594">
      <c r="A594" s="9" t="n"/>
      <c r="F594">
        <f>IF(E594="",F593,F593+E594)</f>
        <v/>
      </c>
      <c r="G594" s="11">
        <f>IF(E594="","",MIN(E594,MAX(0,10000-F593))*0.45+MAX(0,E594-MAX(0,10000-F593))*0.25)</f>
        <v/>
      </c>
    </row>
    <row r="595">
      <c r="A595" s="9" t="n"/>
      <c r="F595">
        <f>IF(E595="",F594,F594+E595)</f>
        <v/>
      </c>
      <c r="G595" s="11">
        <f>IF(E595="","",MIN(E595,MAX(0,10000-F594))*0.45+MAX(0,E595-MAX(0,10000-F594))*0.25)</f>
        <v/>
      </c>
    </row>
    <row r="596">
      <c r="A596" s="9" t="n"/>
      <c r="F596">
        <f>IF(E596="",F595,F595+E596)</f>
        <v/>
      </c>
      <c r="G596" s="11">
        <f>IF(E596="","",MIN(E596,MAX(0,10000-F595))*0.45+MAX(0,E596-MAX(0,10000-F595))*0.25)</f>
        <v/>
      </c>
    </row>
    <row r="597">
      <c r="A597" s="9" t="n"/>
      <c r="F597">
        <f>IF(E597="",F596,F596+E597)</f>
        <v/>
      </c>
      <c r="G597" s="11">
        <f>IF(E597="","",MIN(E597,MAX(0,10000-F596))*0.45+MAX(0,E597-MAX(0,10000-F596))*0.25)</f>
        <v/>
      </c>
    </row>
    <row r="598">
      <c r="A598" s="9" t="n"/>
      <c r="F598">
        <f>IF(E598="",F597,F597+E598)</f>
        <v/>
      </c>
      <c r="G598" s="11">
        <f>IF(E598="","",MIN(E598,MAX(0,10000-F597))*0.45+MAX(0,E598-MAX(0,10000-F597))*0.25)</f>
        <v/>
      </c>
    </row>
    <row r="599">
      <c r="A599" s="9" t="n"/>
      <c r="F599">
        <f>IF(E599="",F598,F598+E599)</f>
        <v/>
      </c>
      <c r="G599" s="11">
        <f>IF(E599="","",MIN(E599,MAX(0,10000-F598))*0.45+MAX(0,E599-MAX(0,10000-F598))*0.25)</f>
        <v/>
      </c>
    </row>
    <row r="600">
      <c r="A600" s="9" t="n"/>
      <c r="F600">
        <f>IF(E600="",F599,F599+E600)</f>
        <v/>
      </c>
      <c r="G600" s="11">
        <f>IF(E600="","",MIN(E600,MAX(0,10000-F599))*0.45+MAX(0,E600-MAX(0,10000-F599))*0.25)</f>
        <v/>
      </c>
    </row>
    <row r="601">
      <c r="A601" s="9" t="n"/>
      <c r="F601">
        <f>IF(E601="",F600,F600+E601)</f>
        <v/>
      </c>
      <c r="G601" s="11">
        <f>IF(E601="","",MIN(E601,MAX(0,10000-F600))*0.45+MAX(0,E601-MAX(0,10000-F600))*0.25)</f>
        <v/>
      </c>
    </row>
    <row r="602">
      <c r="A602" s="9" t="n"/>
      <c r="F602">
        <f>IF(E602="",F601,F601+E602)</f>
        <v/>
      </c>
      <c r="G602" s="11">
        <f>IF(E602="","",MIN(E602,MAX(0,10000-F601))*0.45+MAX(0,E602-MAX(0,10000-F601))*0.25)</f>
        <v/>
      </c>
    </row>
    <row r="603">
      <c r="A603" s="9" t="n"/>
      <c r="F603">
        <f>IF(E603="",F602,F602+E603)</f>
        <v/>
      </c>
      <c r="G603" s="11">
        <f>IF(E603="","",MIN(E603,MAX(0,10000-F602))*0.45+MAX(0,E603-MAX(0,10000-F602))*0.25)</f>
        <v/>
      </c>
    </row>
    <row r="604">
      <c r="A604" s="9" t="n"/>
      <c r="F604">
        <f>IF(E604="",F603,F603+E604)</f>
        <v/>
      </c>
      <c r="G604" s="11">
        <f>IF(E604="","",MIN(E604,MAX(0,10000-F603))*0.45+MAX(0,E604-MAX(0,10000-F603))*0.25)</f>
        <v/>
      </c>
    </row>
    <row r="605">
      <c r="A605" s="9" t="n"/>
      <c r="F605">
        <f>IF(E605="",F604,F604+E605)</f>
        <v/>
      </c>
      <c r="G605" s="11">
        <f>IF(E605="","",MIN(E605,MAX(0,10000-F604))*0.45+MAX(0,E605-MAX(0,10000-F604))*0.25)</f>
        <v/>
      </c>
    </row>
    <row r="606">
      <c r="A606" s="9" t="n"/>
      <c r="F606">
        <f>IF(E606="",F605,F605+E606)</f>
        <v/>
      </c>
      <c r="G606" s="11">
        <f>IF(E606="","",MIN(E606,MAX(0,10000-F605))*0.45+MAX(0,E606-MAX(0,10000-F605))*0.25)</f>
        <v/>
      </c>
    </row>
    <row r="607">
      <c r="A607" s="9" t="n"/>
      <c r="F607">
        <f>IF(E607="",F606,F606+E607)</f>
        <v/>
      </c>
      <c r="G607" s="11">
        <f>IF(E607="","",MIN(E607,MAX(0,10000-F606))*0.45+MAX(0,E607-MAX(0,10000-F606))*0.25)</f>
        <v/>
      </c>
    </row>
    <row r="608">
      <c r="A608" s="9" t="n"/>
      <c r="F608">
        <f>IF(E608="",F607,F607+E608)</f>
        <v/>
      </c>
      <c r="G608" s="11">
        <f>IF(E608="","",MIN(E608,MAX(0,10000-F607))*0.45+MAX(0,E608-MAX(0,10000-F607))*0.25)</f>
        <v/>
      </c>
    </row>
    <row r="609">
      <c r="A609" s="9" t="n"/>
      <c r="F609">
        <f>IF(E609="",F608,F608+E609)</f>
        <v/>
      </c>
      <c r="G609" s="11">
        <f>IF(E609="","",MIN(E609,MAX(0,10000-F608))*0.45+MAX(0,E609-MAX(0,10000-F608))*0.25)</f>
        <v/>
      </c>
    </row>
    <row r="610">
      <c r="A610" s="9" t="n"/>
      <c r="F610">
        <f>IF(E610="",F609,F609+E610)</f>
        <v/>
      </c>
      <c r="G610" s="11">
        <f>IF(E610="","",MIN(E610,MAX(0,10000-F609))*0.45+MAX(0,E610-MAX(0,10000-F609))*0.25)</f>
        <v/>
      </c>
    </row>
    <row r="611">
      <c r="A611" s="9" t="n"/>
      <c r="F611">
        <f>IF(E611="",F610,F610+E611)</f>
        <v/>
      </c>
      <c r="G611" s="11">
        <f>IF(E611="","",MIN(E611,MAX(0,10000-F610))*0.45+MAX(0,E611-MAX(0,10000-F610))*0.25)</f>
        <v/>
      </c>
    </row>
    <row r="612">
      <c r="A612" s="9" t="n"/>
      <c r="F612">
        <f>IF(E612="",F611,F611+E612)</f>
        <v/>
      </c>
      <c r="G612" s="11">
        <f>IF(E612="","",MIN(E612,MAX(0,10000-F611))*0.45+MAX(0,E612-MAX(0,10000-F611))*0.25)</f>
        <v/>
      </c>
    </row>
    <row r="613">
      <c r="A613" s="9" t="n"/>
      <c r="F613">
        <f>IF(E613="",F612,F612+E613)</f>
        <v/>
      </c>
      <c r="G613" s="11">
        <f>IF(E613="","",MIN(E613,MAX(0,10000-F612))*0.45+MAX(0,E613-MAX(0,10000-F612))*0.25)</f>
        <v/>
      </c>
    </row>
    <row r="614">
      <c r="A614" s="9" t="n"/>
      <c r="F614">
        <f>IF(E614="",F613,F613+E614)</f>
        <v/>
      </c>
      <c r="G614" s="11">
        <f>IF(E614="","",MIN(E614,MAX(0,10000-F613))*0.45+MAX(0,E614-MAX(0,10000-F613))*0.25)</f>
        <v/>
      </c>
    </row>
    <row r="615">
      <c r="A615" s="9" t="n"/>
      <c r="F615">
        <f>IF(E615="",F614,F614+E615)</f>
        <v/>
      </c>
      <c r="G615" s="11">
        <f>IF(E615="","",MIN(E615,MAX(0,10000-F614))*0.45+MAX(0,E615-MAX(0,10000-F614))*0.25)</f>
        <v/>
      </c>
    </row>
    <row r="616">
      <c r="A616" s="9" t="n"/>
      <c r="F616">
        <f>IF(E616="",F615,F615+E616)</f>
        <v/>
      </c>
      <c r="G616" s="11">
        <f>IF(E616="","",MIN(E616,MAX(0,10000-F615))*0.45+MAX(0,E616-MAX(0,10000-F615))*0.25)</f>
        <v/>
      </c>
    </row>
    <row r="617">
      <c r="A617" s="9" t="n"/>
      <c r="F617">
        <f>IF(E617="",F616,F616+E617)</f>
        <v/>
      </c>
      <c r="G617" s="11">
        <f>IF(E617="","",MIN(E617,MAX(0,10000-F616))*0.45+MAX(0,E617-MAX(0,10000-F616))*0.25)</f>
        <v/>
      </c>
    </row>
    <row r="618">
      <c r="A618" s="9" t="n"/>
      <c r="F618">
        <f>IF(E618="",F617,F617+E618)</f>
        <v/>
      </c>
      <c r="G618" s="11">
        <f>IF(E618="","",MIN(E618,MAX(0,10000-F617))*0.45+MAX(0,E618-MAX(0,10000-F617))*0.25)</f>
        <v/>
      </c>
    </row>
    <row r="619">
      <c r="A619" s="9" t="n"/>
      <c r="F619">
        <f>IF(E619="",F618,F618+E619)</f>
        <v/>
      </c>
      <c r="G619" s="11">
        <f>IF(E619="","",MIN(E619,MAX(0,10000-F618))*0.45+MAX(0,E619-MAX(0,10000-F618))*0.25)</f>
        <v/>
      </c>
    </row>
    <row r="620">
      <c r="A620" s="9" t="n"/>
      <c r="F620">
        <f>IF(E620="",F619,F619+E620)</f>
        <v/>
      </c>
      <c r="G620" s="11">
        <f>IF(E620="","",MIN(E620,MAX(0,10000-F619))*0.45+MAX(0,E620-MAX(0,10000-F619))*0.25)</f>
        <v/>
      </c>
    </row>
    <row r="621">
      <c r="A621" s="9" t="n"/>
      <c r="F621">
        <f>IF(E621="",F620,F620+E621)</f>
        <v/>
      </c>
      <c r="G621" s="11">
        <f>IF(E621="","",MIN(E621,MAX(0,10000-F620))*0.45+MAX(0,E621-MAX(0,10000-F620))*0.25)</f>
        <v/>
      </c>
    </row>
    <row r="622">
      <c r="A622" s="9" t="n"/>
      <c r="F622">
        <f>IF(E622="",F621,F621+E622)</f>
        <v/>
      </c>
      <c r="G622" s="11">
        <f>IF(E622="","",MIN(E622,MAX(0,10000-F621))*0.45+MAX(0,E622-MAX(0,10000-F621))*0.25)</f>
        <v/>
      </c>
    </row>
    <row r="623">
      <c r="A623" s="9" t="n"/>
      <c r="F623">
        <f>IF(E623="",F622,F622+E623)</f>
        <v/>
      </c>
      <c r="G623" s="11">
        <f>IF(E623="","",MIN(E623,MAX(0,10000-F622))*0.45+MAX(0,E623-MAX(0,10000-F622))*0.25)</f>
        <v/>
      </c>
    </row>
    <row r="624">
      <c r="A624" s="9" t="n"/>
      <c r="F624">
        <f>IF(E624="",F623,F623+E624)</f>
        <v/>
      </c>
      <c r="G624" s="11">
        <f>IF(E624="","",MIN(E624,MAX(0,10000-F623))*0.45+MAX(0,E624-MAX(0,10000-F623))*0.25)</f>
        <v/>
      </c>
    </row>
    <row r="625">
      <c r="A625" s="9" t="n"/>
      <c r="F625">
        <f>IF(E625="",F624,F624+E625)</f>
        <v/>
      </c>
      <c r="G625" s="11">
        <f>IF(E625="","",MIN(E625,MAX(0,10000-F624))*0.45+MAX(0,E625-MAX(0,10000-F624))*0.25)</f>
        <v/>
      </c>
    </row>
    <row r="626">
      <c r="A626" s="9" t="n"/>
      <c r="F626">
        <f>IF(E626="",F625,F625+E626)</f>
        <v/>
      </c>
      <c r="G626" s="11">
        <f>IF(E626="","",MIN(E626,MAX(0,10000-F625))*0.45+MAX(0,E626-MAX(0,10000-F625))*0.25)</f>
        <v/>
      </c>
    </row>
    <row r="627">
      <c r="A627" s="9" t="n"/>
      <c r="F627">
        <f>IF(E627="",F626,F626+E627)</f>
        <v/>
      </c>
      <c r="G627" s="11">
        <f>IF(E627="","",MIN(E627,MAX(0,10000-F626))*0.45+MAX(0,E627-MAX(0,10000-F626))*0.25)</f>
        <v/>
      </c>
    </row>
    <row r="628">
      <c r="A628" s="9" t="n"/>
      <c r="F628">
        <f>IF(E628="",F627,F627+E628)</f>
        <v/>
      </c>
      <c r="G628" s="11">
        <f>IF(E628="","",MIN(E628,MAX(0,10000-F627))*0.45+MAX(0,E628-MAX(0,10000-F627))*0.25)</f>
        <v/>
      </c>
    </row>
    <row r="629">
      <c r="A629" s="9" t="n"/>
      <c r="F629">
        <f>IF(E629="",F628,F628+E629)</f>
        <v/>
      </c>
      <c r="G629" s="11">
        <f>IF(E629="","",MIN(E629,MAX(0,10000-F628))*0.45+MAX(0,E629-MAX(0,10000-F628))*0.25)</f>
        <v/>
      </c>
    </row>
    <row r="630">
      <c r="A630" s="9" t="n"/>
      <c r="F630">
        <f>IF(E630="",F629,F629+E630)</f>
        <v/>
      </c>
      <c r="G630" s="11">
        <f>IF(E630="","",MIN(E630,MAX(0,10000-F629))*0.45+MAX(0,E630-MAX(0,10000-F629))*0.25)</f>
        <v/>
      </c>
    </row>
    <row r="631">
      <c r="A631" s="9" t="n"/>
      <c r="F631">
        <f>IF(E631="",F630,F630+E631)</f>
        <v/>
      </c>
      <c r="G631" s="11">
        <f>IF(E631="","",MIN(E631,MAX(0,10000-F630))*0.45+MAX(0,E631-MAX(0,10000-F630))*0.25)</f>
        <v/>
      </c>
    </row>
    <row r="632">
      <c r="A632" s="9" t="n"/>
      <c r="F632">
        <f>IF(E632="",F631,F631+E632)</f>
        <v/>
      </c>
      <c r="G632" s="11">
        <f>IF(E632="","",MIN(E632,MAX(0,10000-F631))*0.45+MAX(0,E632-MAX(0,10000-F631))*0.25)</f>
        <v/>
      </c>
    </row>
    <row r="633">
      <c r="A633" s="9" t="n"/>
      <c r="F633">
        <f>IF(E633="",F632,F632+E633)</f>
        <v/>
      </c>
      <c r="G633" s="11">
        <f>IF(E633="","",MIN(E633,MAX(0,10000-F632))*0.45+MAX(0,E633-MAX(0,10000-F632))*0.25)</f>
        <v/>
      </c>
    </row>
    <row r="634">
      <c r="A634" s="9" t="n"/>
      <c r="F634">
        <f>IF(E634="",F633,F633+E634)</f>
        <v/>
      </c>
      <c r="G634" s="11">
        <f>IF(E634="","",MIN(E634,MAX(0,10000-F633))*0.45+MAX(0,E634-MAX(0,10000-F633))*0.25)</f>
        <v/>
      </c>
    </row>
    <row r="635">
      <c r="A635" s="9" t="n"/>
      <c r="F635">
        <f>IF(E635="",F634,F634+E635)</f>
        <v/>
      </c>
      <c r="G635" s="11">
        <f>IF(E635="","",MIN(E635,MAX(0,10000-F634))*0.45+MAX(0,E635-MAX(0,10000-F634))*0.25)</f>
        <v/>
      </c>
    </row>
    <row r="636">
      <c r="A636" s="9" t="n"/>
      <c r="F636">
        <f>IF(E636="",F635,F635+E636)</f>
        <v/>
      </c>
      <c r="G636" s="11">
        <f>IF(E636="","",MIN(E636,MAX(0,10000-F635))*0.45+MAX(0,E636-MAX(0,10000-F635))*0.25)</f>
        <v/>
      </c>
    </row>
    <row r="637">
      <c r="A637" s="9" t="n"/>
      <c r="F637">
        <f>IF(E637="",F636,F636+E637)</f>
        <v/>
      </c>
      <c r="G637" s="11">
        <f>IF(E637="","",MIN(E637,MAX(0,10000-F636))*0.45+MAX(0,E637-MAX(0,10000-F636))*0.25)</f>
        <v/>
      </c>
    </row>
    <row r="638">
      <c r="A638" s="9" t="n"/>
      <c r="F638">
        <f>IF(E638="",F637,F637+E638)</f>
        <v/>
      </c>
      <c r="G638" s="11">
        <f>IF(E638="","",MIN(E638,MAX(0,10000-F637))*0.45+MAX(0,E638-MAX(0,10000-F637))*0.25)</f>
        <v/>
      </c>
    </row>
    <row r="639">
      <c r="A639" s="9" t="n"/>
      <c r="F639">
        <f>IF(E639="",F638,F638+E639)</f>
        <v/>
      </c>
      <c r="G639" s="11">
        <f>IF(E639="","",MIN(E639,MAX(0,10000-F638))*0.45+MAX(0,E639-MAX(0,10000-F638))*0.25)</f>
        <v/>
      </c>
    </row>
    <row r="640">
      <c r="A640" s="9" t="n"/>
      <c r="F640">
        <f>IF(E640="",F639,F639+E640)</f>
        <v/>
      </c>
      <c r="G640" s="11">
        <f>IF(E640="","",MIN(E640,MAX(0,10000-F639))*0.45+MAX(0,E640-MAX(0,10000-F639))*0.25)</f>
        <v/>
      </c>
    </row>
    <row r="641">
      <c r="A641" s="9" t="n"/>
      <c r="F641">
        <f>IF(E641="",F640,F640+E641)</f>
        <v/>
      </c>
      <c r="G641" s="11">
        <f>IF(E641="","",MIN(E641,MAX(0,10000-F640))*0.45+MAX(0,E641-MAX(0,10000-F640))*0.25)</f>
        <v/>
      </c>
    </row>
    <row r="642">
      <c r="A642" s="9" t="n"/>
      <c r="F642">
        <f>IF(E642="",F641,F641+E642)</f>
        <v/>
      </c>
      <c r="G642" s="11">
        <f>IF(E642="","",MIN(E642,MAX(0,10000-F641))*0.45+MAX(0,E642-MAX(0,10000-F641))*0.25)</f>
        <v/>
      </c>
    </row>
    <row r="643">
      <c r="A643" s="9" t="n"/>
      <c r="F643">
        <f>IF(E643="",F642,F642+E643)</f>
        <v/>
      </c>
      <c r="G643" s="11">
        <f>IF(E643="","",MIN(E643,MAX(0,10000-F642))*0.45+MAX(0,E643-MAX(0,10000-F642))*0.25)</f>
        <v/>
      </c>
    </row>
    <row r="644">
      <c r="A644" s="9" t="n"/>
      <c r="F644">
        <f>IF(E644="",F643,F643+E644)</f>
        <v/>
      </c>
      <c r="G644" s="11">
        <f>IF(E644="","",MIN(E644,MAX(0,10000-F643))*0.45+MAX(0,E644-MAX(0,10000-F643))*0.25)</f>
        <v/>
      </c>
    </row>
    <row r="645">
      <c r="A645" s="9" t="n"/>
      <c r="F645">
        <f>IF(E645="",F644,F644+E645)</f>
        <v/>
      </c>
      <c r="G645" s="11">
        <f>IF(E645="","",MIN(E645,MAX(0,10000-F644))*0.45+MAX(0,E645-MAX(0,10000-F644))*0.25)</f>
        <v/>
      </c>
    </row>
    <row r="646">
      <c r="A646" s="9" t="n"/>
      <c r="F646">
        <f>IF(E646="",F645,F645+E646)</f>
        <v/>
      </c>
      <c r="G646" s="11">
        <f>IF(E646="","",MIN(E646,MAX(0,10000-F645))*0.45+MAX(0,E646-MAX(0,10000-F645))*0.25)</f>
        <v/>
      </c>
    </row>
    <row r="647">
      <c r="A647" s="9" t="n"/>
      <c r="F647">
        <f>IF(E647="",F646,F646+E647)</f>
        <v/>
      </c>
      <c r="G647" s="11">
        <f>IF(E647="","",MIN(E647,MAX(0,10000-F646))*0.45+MAX(0,E647-MAX(0,10000-F646))*0.25)</f>
        <v/>
      </c>
    </row>
    <row r="648">
      <c r="A648" s="9" t="n"/>
      <c r="F648">
        <f>IF(E648="",F647,F647+E648)</f>
        <v/>
      </c>
      <c r="G648" s="11">
        <f>IF(E648="","",MIN(E648,MAX(0,10000-F647))*0.45+MAX(0,E648-MAX(0,10000-F647))*0.25)</f>
        <v/>
      </c>
    </row>
    <row r="649">
      <c r="A649" s="9" t="n"/>
      <c r="F649">
        <f>IF(E649="",F648,F648+E649)</f>
        <v/>
      </c>
      <c r="G649" s="11">
        <f>IF(E649="","",MIN(E649,MAX(0,10000-F648))*0.45+MAX(0,E649-MAX(0,10000-F648))*0.25)</f>
        <v/>
      </c>
    </row>
    <row r="650">
      <c r="A650" s="9" t="n"/>
      <c r="F650">
        <f>IF(E650="",F649,F649+E650)</f>
        <v/>
      </c>
      <c r="G650" s="11">
        <f>IF(E650="","",MIN(E650,MAX(0,10000-F649))*0.45+MAX(0,E650-MAX(0,10000-F649))*0.25)</f>
        <v/>
      </c>
    </row>
    <row r="651">
      <c r="A651" s="9" t="n"/>
      <c r="F651">
        <f>IF(E651="",F650,F650+E651)</f>
        <v/>
      </c>
      <c r="G651" s="11">
        <f>IF(E651="","",MIN(E651,MAX(0,10000-F650))*0.45+MAX(0,E651-MAX(0,10000-F650))*0.25)</f>
        <v/>
      </c>
    </row>
    <row r="652">
      <c r="A652" s="9" t="n"/>
      <c r="F652">
        <f>IF(E652="",F651,F651+E652)</f>
        <v/>
      </c>
      <c r="G652" s="11">
        <f>IF(E652="","",MIN(E652,MAX(0,10000-F651))*0.45+MAX(0,E652-MAX(0,10000-F651))*0.25)</f>
        <v/>
      </c>
    </row>
    <row r="653">
      <c r="A653" s="9" t="n"/>
      <c r="F653">
        <f>IF(E653="",F652,F652+E653)</f>
        <v/>
      </c>
      <c r="G653" s="11">
        <f>IF(E653="","",MIN(E653,MAX(0,10000-F652))*0.45+MAX(0,E653-MAX(0,10000-F652))*0.25)</f>
        <v/>
      </c>
    </row>
    <row r="654">
      <c r="A654" s="9" t="n"/>
      <c r="F654">
        <f>IF(E654="",F653,F653+E654)</f>
        <v/>
      </c>
      <c r="G654" s="11">
        <f>IF(E654="","",MIN(E654,MAX(0,10000-F653))*0.45+MAX(0,E654-MAX(0,10000-F653))*0.25)</f>
        <v/>
      </c>
    </row>
    <row r="655">
      <c r="A655" s="9" t="n"/>
      <c r="F655">
        <f>IF(E655="",F654,F654+E655)</f>
        <v/>
      </c>
      <c r="G655" s="11">
        <f>IF(E655="","",MIN(E655,MAX(0,10000-F654))*0.45+MAX(0,E655-MAX(0,10000-F654))*0.25)</f>
        <v/>
      </c>
    </row>
    <row r="656">
      <c r="A656" s="9" t="n"/>
      <c r="F656">
        <f>IF(E656="",F655,F655+E656)</f>
        <v/>
      </c>
      <c r="G656" s="11">
        <f>IF(E656="","",MIN(E656,MAX(0,10000-F655))*0.45+MAX(0,E656-MAX(0,10000-F655))*0.25)</f>
        <v/>
      </c>
    </row>
    <row r="657">
      <c r="A657" s="9" t="n"/>
      <c r="F657">
        <f>IF(E657="",F656,F656+E657)</f>
        <v/>
      </c>
      <c r="G657" s="11">
        <f>IF(E657="","",MIN(E657,MAX(0,10000-F656))*0.45+MAX(0,E657-MAX(0,10000-F656))*0.25)</f>
        <v/>
      </c>
    </row>
    <row r="658">
      <c r="A658" s="9" t="n"/>
      <c r="F658">
        <f>IF(E658="",F657,F657+E658)</f>
        <v/>
      </c>
      <c r="G658" s="11">
        <f>IF(E658="","",MIN(E658,MAX(0,10000-F657))*0.45+MAX(0,E658-MAX(0,10000-F657))*0.25)</f>
        <v/>
      </c>
    </row>
    <row r="659">
      <c r="A659" s="9" t="n"/>
      <c r="F659">
        <f>IF(E659="",F658,F658+E659)</f>
        <v/>
      </c>
      <c r="G659" s="11">
        <f>IF(E659="","",MIN(E659,MAX(0,10000-F658))*0.45+MAX(0,E659-MAX(0,10000-F658))*0.25)</f>
        <v/>
      </c>
    </row>
    <row r="660">
      <c r="A660" s="9" t="n"/>
      <c r="F660">
        <f>IF(E660="",F659,F659+E660)</f>
        <v/>
      </c>
      <c r="G660" s="11">
        <f>IF(E660="","",MIN(E660,MAX(0,10000-F659))*0.45+MAX(0,E660-MAX(0,10000-F659))*0.25)</f>
        <v/>
      </c>
    </row>
    <row r="661">
      <c r="A661" s="9" t="n"/>
      <c r="F661">
        <f>IF(E661="",F660,F660+E661)</f>
        <v/>
      </c>
      <c r="G661" s="11">
        <f>IF(E661="","",MIN(E661,MAX(0,10000-F660))*0.45+MAX(0,E661-MAX(0,10000-F660))*0.25)</f>
        <v/>
      </c>
    </row>
    <row r="662">
      <c r="A662" s="9" t="n"/>
      <c r="F662">
        <f>IF(E662="",F661,F661+E662)</f>
        <v/>
      </c>
      <c r="G662" s="11">
        <f>IF(E662="","",MIN(E662,MAX(0,10000-F661))*0.45+MAX(0,E662-MAX(0,10000-F661))*0.25)</f>
        <v/>
      </c>
    </row>
    <row r="663">
      <c r="A663" s="9" t="n"/>
      <c r="F663">
        <f>IF(E663="",F662,F662+E663)</f>
        <v/>
      </c>
      <c r="G663" s="11">
        <f>IF(E663="","",MIN(E663,MAX(0,10000-F662))*0.45+MAX(0,E663-MAX(0,10000-F662))*0.25)</f>
        <v/>
      </c>
    </row>
    <row r="664">
      <c r="A664" s="9" t="n"/>
      <c r="F664">
        <f>IF(E664="",F663,F663+E664)</f>
        <v/>
      </c>
      <c r="G664" s="11">
        <f>IF(E664="","",MIN(E664,MAX(0,10000-F663))*0.45+MAX(0,E664-MAX(0,10000-F663))*0.25)</f>
        <v/>
      </c>
    </row>
    <row r="665">
      <c r="A665" s="9" t="n"/>
      <c r="F665">
        <f>IF(E665="",F664,F664+E665)</f>
        <v/>
      </c>
      <c r="G665" s="11">
        <f>IF(E665="","",MIN(E665,MAX(0,10000-F664))*0.45+MAX(0,E665-MAX(0,10000-F664))*0.25)</f>
        <v/>
      </c>
    </row>
    <row r="666">
      <c r="A666" s="9" t="n"/>
      <c r="F666">
        <f>IF(E666="",F665,F665+E666)</f>
        <v/>
      </c>
      <c r="G666" s="11">
        <f>IF(E666="","",MIN(E666,MAX(0,10000-F665))*0.45+MAX(0,E666-MAX(0,10000-F665))*0.25)</f>
        <v/>
      </c>
    </row>
    <row r="667">
      <c r="A667" s="9" t="n"/>
      <c r="F667">
        <f>IF(E667="",F666,F666+E667)</f>
        <v/>
      </c>
      <c r="G667" s="11">
        <f>IF(E667="","",MIN(E667,MAX(0,10000-F666))*0.45+MAX(0,E667-MAX(0,10000-F666))*0.25)</f>
        <v/>
      </c>
    </row>
    <row r="668">
      <c r="A668" s="9" t="n"/>
      <c r="F668">
        <f>IF(E668="",F667,F667+E668)</f>
        <v/>
      </c>
      <c r="G668" s="11">
        <f>IF(E668="","",MIN(E668,MAX(0,10000-F667))*0.45+MAX(0,E668-MAX(0,10000-F667))*0.25)</f>
        <v/>
      </c>
    </row>
    <row r="669">
      <c r="A669" s="9" t="n"/>
      <c r="F669">
        <f>IF(E669="",F668,F668+E669)</f>
        <v/>
      </c>
      <c r="G669" s="11">
        <f>IF(E669="","",MIN(E669,MAX(0,10000-F668))*0.45+MAX(0,E669-MAX(0,10000-F668))*0.25)</f>
        <v/>
      </c>
    </row>
    <row r="670">
      <c r="A670" s="9" t="n"/>
      <c r="F670">
        <f>IF(E670="",F669,F669+E670)</f>
        <v/>
      </c>
      <c r="G670" s="11">
        <f>IF(E670="","",MIN(E670,MAX(0,10000-F669))*0.45+MAX(0,E670-MAX(0,10000-F669))*0.25)</f>
        <v/>
      </c>
    </row>
    <row r="671">
      <c r="A671" s="9" t="n"/>
      <c r="F671">
        <f>IF(E671="",F670,F670+E671)</f>
        <v/>
      </c>
      <c r="G671" s="11">
        <f>IF(E671="","",MIN(E671,MAX(0,10000-F670))*0.45+MAX(0,E671-MAX(0,10000-F670))*0.25)</f>
        <v/>
      </c>
    </row>
    <row r="672">
      <c r="A672" s="9" t="n"/>
      <c r="F672">
        <f>IF(E672="",F671,F671+E672)</f>
        <v/>
      </c>
      <c r="G672" s="11">
        <f>IF(E672="","",MIN(E672,MAX(0,10000-F671))*0.45+MAX(0,E672-MAX(0,10000-F671))*0.25)</f>
        <v/>
      </c>
    </row>
    <row r="673">
      <c r="A673" s="9" t="n"/>
      <c r="F673">
        <f>IF(E673="",F672,F672+E673)</f>
        <v/>
      </c>
      <c r="G673" s="11">
        <f>IF(E673="","",MIN(E673,MAX(0,10000-F672))*0.45+MAX(0,E673-MAX(0,10000-F672))*0.25)</f>
        <v/>
      </c>
    </row>
    <row r="674">
      <c r="A674" s="9" t="n"/>
      <c r="F674">
        <f>IF(E674="",F673,F673+E674)</f>
        <v/>
      </c>
      <c r="G674" s="11">
        <f>IF(E674="","",MIN(E674,MAX(0,10000-F673))*0.45+MAX(0,E674-MAX(0,10000-F673))*0.25)</f>
        <v/>
      </c>
    </row>
    <row r="675">
      <c r="A675" s="9" t="n"/>
      <c r="F675">
        <f>IF(E675="",F674,F674+E675)</f>
        <v/>
      </c>
      <c r="G675" s="11">
        <f>IF(E675="","",MIN(E675,MAX(0,10000-F674))*0.45+MAX(0,E675-MAX(0,10000-F674))*0.25)</f>
        <v/>
      </c>
    </row>
    <row r="676">
      <c r="A676" s="9" t="n"/>
      <c r="F676">
        <f>IF(E676="",F675,F675+E676)</f>
        <v/>
      </c>
      <c r="G676" s="11">
        <f>IF(E676="","",MIN(E676,MAX(0,10000-F675))*0.45+MAX(0,E676-MAX(0,10000-F675))*0.25)</f>
        <v/>
      </c>
    </row>
    <row r="677">
      <c r="A677" s="9" t="n"/>
      <c r="F677">
        <f>IF(E677="",F676,F676+E677)</f>
        <v/>
      </c>
      <c r="G677" s="11">
        <f>IF(E677="","",MIN(E677,MAX(0,10000-F676))*0.45+MAX(0,E677-MAX(0,10000-F676))*0.25)</f>
        <v/>
      </c>
    </row>
    <row r="678">
      <c r="A678" s="9" t="n"/>
      <c r="F678">
        <f>IF(E678="",F677,F677+E678)</f>
        <v/>
      </c>
      <c r="G678" s="11">
        <f>IF(E678="","",MIN(E678,MAX(0,10000-F677))*0.45+MAX(0,E678-MAX(0,10000-F677))*0.25)</f>
        <v/>
      </c>
    </row>
    <row r="679">
      <c r="A679" s="9" t="n"/>
      <c r="F679">
        <f>IF(E679="",F678,F678+E679)</f>
        <v/>
      </c>
      <c r="G679" s="11">
        <f>IF(E679="","",MIN(E679,MAX(0,10000-F678))*0.45+MAX(0,E679-MAX(0,10000-F678))*0.25)</f>
        <v/>
      </c>
    </row>
    <row r="680">
      <c r="A680" s="9" t="n"/>
      <c r="F680">
        <f>IF(E680="",F679,F679+E680)</f>
        <v/>
      </c>
      <c r="G680" s="11">
        <f>IF(E680="","",MIN(E680,MAX(0,10000-F679))*0.45+MAX(0,E680-MAX(0,10000-F679))*0.25)</f>
        <v/>
      </c>
    </row>
    <row r="681">
      <c r="A681" s="9" t="n"/>
      <c r="F681">
        <f>IF(E681="",F680,F680+E681)</f>
        <v/>
      </c>
      <c r="G681" s="11">
        <f>IF(E681="","",MIN(E681,MAX(0,10000-F680))*0.45+MAX(0,E681-MAX(0,10000-F680))*0.25)</f>
        <v/>
      </c>
    </row>
    <row r="682">
      <c r="A682" s="9" t="n"/>
      <c r="F682">
        <f>IF(E682="",F681,F681+E682)</f>
        <v/>
      </c>
      <c r="G682" s="11">
        <f>IF(E682="","",MIN(E682,MAX(0,10000-F681))*0.45+MAX(0,E682-MAX(0,10000-F681))*0.25)</f>
        <v/>
      </c>
    </row>
    <row r="683">
      <c r="A683" s="9" t="n"/>
      <c r="F683">
        <f>IF(E683="",F682,F682+E683)</f>
        <v/>
      </c>
      <c r="G683" s="11">
        <f>IF(E683="","",MIN(E683,MAX(0,10000-F682))*0.45+MAX(0,E683-MAX(0,10000-F682))*0.25)</f>
        <v/>
      </c>
    </row>
    <row r="684">
      <c r="A684" s="9" t="n"/>
      <c r="F684">
        <f>IF(E684="",F683,F683+E684)</f>
        <v/>
      </c>
      <c r="G684" s="11">
        <f>IF(E684="","",MIN(E684,MAX(0,10000-F683))*0.45+MAX(0,E684-MAX(0,10000-F683))*0.25)</f>
        <v/>
      </c>
    </row>
    <row r="685">
      <c r="A685" s="9" t="n"/>
      <c r="F685">
        <f>IF(E685="",F684,F684+E685)</f>
        <v/>
      </c>
      <c r="G685" s="11">
        <f>IF(E685="","",MIN(E685,MAX(0,10000-F684))*0.45+MAX(0,E685-MAX(0,10000-F684))*0.25)</f>
        <v/>
      </c>
    </row>
    <row r="686">
      <c r="A686" s="9" t="n"/>
      <c r="F686">
        <f>IF(E686="",F685,F685+E686)</f>
        <v/>
      </c>
      <c r="G686" s="11">
        <f>IF(E686="","",MIN(E686,MAX(0,10000-F685))*0.45+MAX(0,E686-MAX(0,10000-F685))*0.25)</f>
        <v/>
      </c>
    </row>
    <row r="687">
      <c r="A687" s="9" t="n"/>
      <c r="F687">
        <f>IF(E687="",F686,F686+E687)</f>
        <v/>
      </c>
      <c r="G687" s="11">
        <f>IF(E687="","",MIN(E687,MAX(0,10000-F686))*0.45+MAX(0,E687-MAX(0,10000-F686))*0.25)</f>
        <v/>
      </c>
    </row>
    <row r="688">
      <c r="A688" s="9" t="n"/>
      <c r="F688">
        <f>IF(E688="",F687,F687+E688)</f>
        <v/>
      </c>
      <c r="G688" s="11">
        <f>IF(E688="","",MIN(E688,MAX(0,10000-F687))*0.45+MAX(0,E688-MAX(0,10000-F687))*0.25)</f>
        <v/>
      </c>
    </row>
    <row r="689">
      <c r="A689" s="9" t="n"/>
      <c r="F689">
        <f>IF(E689="",F688,F688+E689)</f>
        <v/>
      </c>
      <c r="G689" s="11">
        <f>IF(E689="","",MIN(E689,MAX(0,10000-F688))*0.45+MAX(0,E689-MAX(0,10000-F688))*0.25)</f>
        <v/>
      </c>
    </row>
    <row r="690">
      <c r="A690" s="9" t="n"/>
      <c r="F690">
        <f>IF(E690="",F689,F689+E690)</f>
        <v/>
      </c>
      <c r="G690" s="11">
        <f>IF(E690="","",MIN(E690,MAX(0,10000-F689))*0.45+MAX(0,E690-MAX(0,10000-F689))*0.25)</f>
        <v/>
      </c>
    </row>
    <row r="691">
      <c r="A691" s="9" t="n"/>
      <c r="F691">
        <f>IF(E691="",F690,F690+E691)</f>
        <v/>
      </c>
      <c r="G691" s="11">
        <f>IF(E691="","",MIN(E691,MAX(0,10000-F690))*0.45+MAX(0,E691-MAX(0,10000-F690))*0.25)</f>
        <v/>
      </c>
    </row>
    <row r="692">
      <c r="A692" s="9" t="n"/>
      <c r="F692">
        <f>IF(E692="",F691,F691+E692)</f>
        <v/>
      </c>
      <c r="G692" s="11">
        <f>IF(E692="","",MIN(E692,MAX(0,10000-F691))*0.45+MAX(0,E692-MAX(0,10000-F691))*0.25)</f>
        <v/>
      </c>
    </row>
    <row r="693">
      <c r="A693" s="9" t="n"/>
      <c r="F693">
        <f>IF(E693="",F692,F692+E693)</f>
        <v/>
      </c>
      <c r="G693" s="11">
        <f>IF(E693="","",MIN(E693,MAX(0,10000-F692))*0.45+MAX(0,E693-MAX(0,10000-F692))*0.25)</f>
        <v/>
      </c>
    </row>
    <row r="694">
      <c r="A694" s="9" t="n"/>
      <c r="F694">
        <f>IF(E694="",F693,F693+E694)</f>
        <v/>
      </c>
      <c r="G694" s="11">
        <f>IF(E694="","",MIN(E694,MAX(0,10000-F693))*0.45+MAX(0,E694-MAX(0,10000-F693))*0.25)</f>
        <v/>
      </c>
    </row>
    <row r="695">
      <c r="A695" s="9" t="n"/>
      <c r="F695">
        <f>IF(E695="",F694,F694+E695)</f>
        <v/>
      </c>
      <c r="G695" s="11">
        <f>IF(E695="","",MIN(E695,MAX(0,10000-F694))*0.45+MAX(0,E695-MAX(0,10000-F694))*0.25)</f>
        <v/>
      </c>
    </row>
    <row r="696">
      <c r="A696" s="9" t="n"/>
      <c r="F696">
        <f>IF(E696="",F695,F695+E696)</f>
        <v/>
      </c>
      <c r="G696" s="11">
        <f>IF(E696="","",MIN(E696,MAX(0,10000-F695))*0.45+MAX(0,E696-MAX(0,10000-F695))*0.25)</f>
        <v/>
      </c>
    </row>
    <row r="697">
      <c r="A697" s="9" t="n"/>
      <c r="F697">
        <f>IF(E697="",F696,F696+E697)</f>
        <v/>
      </c>
      <c r="G697" s="11">
        <f>IF(E697="","",MIN(E697,MAX(0,10000-F696))*0.45+MAX(0,E697-MAX(0,10000-F696))*0.25)</f>
        <v/>
      </c>
    </row>
    <row r="698">
      <c r="A698" s="9" t="n"/>
      <c r="F698">
        <f>IF(E698="",F697,F697+E698)</f>
        <v/>
      </c>
      <c r="G698" s="11">
        <f>IF(E698="","",MIN(E698,MAX(0,10000-F697))*0.45+MAX(0,E698-MAX(0,10000-F697))*0.25)</f>
        <v/>
      </c>
    </row>
    <row r="699">
      <c r="A699" s="9" t="n"/>
      <c r="F699">
        <f>IF(E699="",F698,F698+E699)</f>
        <v/>
      </c>
      <c r="G699" s="11">
        <f>IF(E699="","",MIN(E699,MAX(0,10000-F698))*0.45+MAX(0,E699-MAX(0,10000-F698))*0.25)</f>
        <v/>
      </c>
    </row>
    <row r="700">
      <c r="A700" s="9" t="n"/>
      <c r="F700">
        <f>IF(E700="",F699,F699+E700)</f>
        <v/>
      </c>
      <c r="G700" s="11">
        <f>IF(E700="","",MIN(E700,MAX(0,10000-F699))*0.45+MAX(0,E700-MAX(0,10000-F699))*0.25)</f>
        <v/>
      </c>
    </row>
    <row r="701">
      <c r="A701" s="9" t="n"/>
      <c r="F701">
        <f>IF(E701="",F700,F700+E701)</f>
        <v/>
      </c>
      <c r="G701" s="11">
        <f>IF(E701="","",MIN(E701,MAX(0,10000-F700))*0.45+MAX(0,E701-MAX(0,10000-F700))*0.25)</f>
        <v/>
      </c>
    </row>
    <row r="702">
      <c r="A702" s="9" t="n"/>
      <c r="F702">
        <f>IF(E702="",F701,F701+E702)</f>
        <v/>
      </c>
      <c r="G702" s="11">
        <f>IF(E702="","",MIN(E702,MAX(0,10000-F701))*0.45+MAX(0,E702-MAX(0,10000-F701))*0.25)</f>
        <v/>
      </c>
    </row>
    <row r="703">
      <c r="A703" s="9" t="n"/>
      <c r="F703">
        <f>IF(E703="",F702,F702+E703)</f>
        <v/>
      </c>
      <c r="G703" s="11">
        <f>IF(E703="","",MIN(E703,MAX(0,10000-F702))*0.45+MAX(0,E703-MAX(0,10000-F702))*0.25)</f>
        <v/>
      </c>
    </row>
    <row r="704">
      <c r="A704" s="9" t="n"/>
      <c r="F704">
        <f>IF(E704="",F703,F703+E704)</f>
        <v/>
      </c>
      <c r="G704" s="11">
        <f>IF(E704="","",MIN(E704,MAX(0,10000-F703))*0.45+MAX(0,E704-MAX(0,10000-F703))*0.25)</f>
        <v/>
      </c>
    </row>
    <row r="705">
      <c r="A705" s="9" t="n"/>
      <c r="F705">
        <f>IF(E705="",F704,F704+E705)</f>
        <v/>
      </c>
      <c r="G705" s="11">
        <f>IF(E705="","",MIN(E705,MAX(0,10000-F704))*0.45+MAX(0,E705-MAX(0,10000-F704))*0.25)</f>
        <v/>
      </c>
    </row>
    <row r="706">
      <c r="A706" s="9" t="n"/>
      <c r="F706">
        <f>IF(E706="",F705,F705+E706)</f>
        <v/>
      </c>
      <c r="G706" s="11">
        <f>IF(E706="","",MIN(E706,MAX(0,10000-F705))*0.45+MAX(0,E706-MAX(0,10000-F705))*0.25)</f>
        <v/>
      </c>
    </row>
    <row r="707">
      <c r="A707" s="9" t="n"/>
      <c r="F707">
        <f>IF(E707="",F706,F706+E707)</f>
        <v/>
      </c>
      <c r="G707" s="11">
        <f>IF(E707="","",MIN(E707,MAX(0,10000-F706))*0.45+MAX(0,E707-MAX(0,10000-F706))*0.25)</f>
        <v/>
      </c>
    </row>
    <row r="708">
      <c r="A708" s="9" t="n"/>
      <c r="F708">
        <f>IF(E708="",F707,F707+E708)</f>
        <v/>
      </c>
      <c r="G708" s="11">
        <f>IF(E708="","",MIN(E708,MAX(0,10000-F707))*0.45+MAX(0,E708-MAX(0,10000-F707))*0.25)</f>
        <v/>
      </c>
    </row>
    <row r="709">
      <c r="A709" s="9" t="n"/>
      <c r="F709">
        <f>IF(E709="",F708,F708+E709)</f>
        <v/>
      </c>
      <c r="G709" s="11">
        <f>IF(E709="","",MIN(E709,MAX(0,10000-F708))*0.45+MAX(0,E709-MAX(0,10000-F708))*0.25)</f>
        <v/>
      </c>
    </row>
    <row r="710">
      <c r="A710" s="9" t="n"/>
      <c r="F710">
        <f>IF(E710="",F709,F709+E710)</f>
        <v/>
      </c>
      <c r="G710" s="11">
        <f>IF(E710="","",MIN(E710,MAX(0,10000-F709))*0.45+MAX(0,E710-MAX(0,10000-F709))*0.25)</f>
        <v/>
      </c>
    </row>
    <row r="711">
      <c r="A711" s="9" t="n"/>
      <c r="F711">
        <f>IF(E711="",F710,F710+E711)</f>
        <v/>
      </c>
      <c r="G711" s="11">
        <f>IF(E711="","",MIN(E711,MAX(0,10000-F710))*0.45+MAX(0,E711-MAX(0,10000-F710))*0.25)</f>
        <v/>
      </c>
    </row>
    <row r="712">
      <c r="A712" s="9" t="n"/>
      <c r="F712">
        <f>IF(E712="",F711,F711+E712)</f>
        <v/>
      </c>
      <c r="G712" s="11">
        <f>IF(E712="","",MIN(E712,MAX(0,10000-F711))*0.45+MAX(0,E712-MAX(0,10000-F711))*0.25)</f>
        <v/>
      </c>
    </row>
    <row r="713">
      <c r="A713" s="9" t="n"/>
      <c r="F713">
        <f>IF(E713="",F712,F712+E713)</f>
        <v/>
      </c>
      <c r="G713" s="11">
        <f>IF(E713="","",MIN(E713,MAX(0,10000-F712))*0.45+MAX(0,E713-MAX(0,10000-F712))*0.25)</f>
        <v/>
      </c>
    </row>
    <row r="714">
      <c r="A714" s="9" t="n"/>
      <c r="F714">
        <f>IF(E714="",F713,F713+E714)</f>
        <v/>
      </c>
      <c r="G714" s="11">
        <f>IF(E714="","",MIN(E714,MAX(0,10000-F713))*0.45+MAX(0,E714-MAX(0,10000-F713))*0.25)</f>
        <v/>
      </c>
    </row>
    <row r="715">
      <c r="A715" s="9" t="n"/>
      <c r="F715">
        <f>IF(E715="",F714,F714+E715)</f>
        <v/>
      </c>
      <c r="G715" s="11">
        <f>IF(E715="","",MIN(E715,MAX(0,10000-F714))*0.45+MAX(0,E715-MAX(0,10000-F714))*0.25)</f>
        <v/>
      </c>
    </row>
    <row r="716">
      <c r="A716" s="9" t="n"/>
      <c r="F716">
        <f>IF(E716="",F715,F715+E716)</f>
        <v/>
      </c>
      <c r="G716" s="11">
        <f>IF(E716="","",MIN(E716,MAX(0,10000-F715))*0.45+MAX(0,E716-MAX(0,10000-F715))*0.25)</f>
        <v/>
      </c>
    </row>
    <row r="717">
      <c r="A717" s="9" t="n"/>
      <c r="F717">
        <f>IF(E717="",F716,F716+E717)</f>
        <v/>
      </c>
      <c r="G717" s="11">
        <f>IF(E717="","",MIN(E717,MAX(0,10000-F716))*0.45+MAX(0,E717-MAX(0,10000-F716))*0.25)</f>
        <v/>
      </c>
    </row>
    <row r="718">
      <c r="A718" s="9" t="n"/>
      <c r="F718">
        <f>IF(E718="",F717,F717+E718)</f>
        <v/>
      </c>
      <c r="G718" s="11">
        <f>IF(E718="","",MIN(E718,MAX(0,10000-F717))*0.45+MAX(0,E718-MAX(0,10000-F717))*0.25)</f>
        <v/>
      </c>
    </row>
    <row r="719">
      <c r="A719" s="9" t="n"/>
      <c r="F719">
        <f>IF(E719="",F718,F718+E719)</f>
        <v/>
      </c>
      <c r="G719" s="11">
        <f>IF(E719="","",MIN(E719,MAX(0,10000-F718))*0.45+MAX(0,E719-MAX(0,10000-F718))*0.25)</f>
        <v/>
      </c>
    </row>
    <row r="720">
      <c r="A720" s="9" t="n"/>
      <c r="F720">
        <f>IF(E720="",F719,F719+E720)</f>
        <v/>
      </c>
      <c r="G720" s="11">
        <f>IF(E720="","",MIN(E720,MAX(0,10000-F719))*0.45+MAX(0,E720-MAX(0,10000-F719))*0.25)</f>
        <v/>
      </c>
    </row>
    <row r="721">
      <c r="A721" s="9" t="n"/>
      <c r="F721">
        <f>IF(E721="",F720,F720+E721)</f>
        <v/>
      </c>
      <c r="G721" s="11">
        <f>IF(E721="","",MIN(E721,MAX(0,10000-F720))*0.45+MAX(0,E721-MAX(0,10000-F720))*0.25)</f>
        <v/>
      </c>
    </row>
    <row r="722">
      <c r="A722" s="9" t="n"/>
      <c r="F722">
        <f>IF(E722="",F721,F721+E722)</f>
        <v/>
      </c>
      <c r="G722" s="11">
        <f>IF(E722="","",MIN(E722,MAX(0,10000-F721))*0.45+MAX(0,E722-MAX(0,10000-F721))*0.25)</f>
        <v/>
      </c>
    </row>
    <row r="723">
      <c r="A723" s="9" t="n"/>
      <c r="F723">
        <f>IF(E723="",F722,F722+E723)</f>
        <v/>
      </c>
      <c r="G723" s="11">
        <f>IF(E723="","",MIN(E723,MAX(0,10000-F722))*0.45+MAX(0,E723-MAX(0,10000-F722))*0.25)</f>
        <v/>
      </c>
    </row>
    <row r="724">
      <c r="A724" s="9" t="n"/>
      <c r="F724">
        <f>IF(E724="",F723,F723+E724)</f>
        <v/>
      </c>
      <c r="G724" s="11">
        <f>IF(E724="","",MIN(E724,MAX(0,10000-F723))*0.45+MAX(0,E724-MAX(0,10000-F723))*0.25)</f>
        <v/>
      </c>
    </row>
    <row r="725">
      <c r="A725" s="9" t="n"/>
      <c r="F725">
        <f>IF(E725="",F724,F724+E725)</f>
        <v/>
      </c>
      <c r="G725" s="11">
        <f>IF(E725="","",MIN(E725,MAX(0,10000-F724))*0.45+MAX(0,E725-MAX(0,10000-F724))*0.25)</f>
        <v/>
      </c>
    </row>
    <row r="726">
      <c r="A726" s="9" t="n"/>
      <c r="F726">
        <f>IF(E726="",F725,F725+E726)</f>
        <v/>
      </c>
      <c r="G726" s="11">
        <f>IF(E726="","",MIN(E726,MAX(0,10000-F725))*0.45+MAX(0,E726-MAX(0,10000-F725))*0.25)</f>
        <v/>
      </c>
    </row>
    <row r="727">
      <c r="A727" s="9" t="n"/>
      <c r="F727">
        <f>IF(E727="",F726,F726+E727)</f>
        <v/>
      </c>
      <c r="G727" s="11">
        <f>IF(E727="","",MIN(E727,MAX(0,10000-F726))*0.45+MAX(0,E727-MAX(0,10000-F726))*0.25)</f>
        <v/>
      </c>
    </row>
    <row r="728">
      <c r="A728" s="9" t="n"/>
      <c r="F728">
        <f>IF(E728="",F727,F727+E728)</f>
        <v/>
      </c>
      <c r="G728" s="11">
        <f>IF(E728="","",MIN(E728,MAX(0,10000-F727))*0.45+MAX(0,E728-MAX(0,10000-F727))*0.25)</f>
        <v/>
      </c>
    </row>
    <row r="729">
      <c r="A729" s="9" t="n"/>
      <c r="F729">
        <f>IF(E729="",F728,F728+E729)</f>
        <v/>
      </c>
      <c r="G729" s="11">
        <f>IF(E729="","",MIN(E729,MAX(0,10000-F728))*0.45+MAX(0,E729-MAX(0,10000-F728))*0.25)</f>
        <v/>
      </c>
    </row>
    <row r="730">
      <c r="A730" s="9" t="n"/>
      <c r="F730">
        <f>IF(E730="",F729,F729+E730)</f>
        <v/>
      </c>
      <c r="G730" s="11">
        <f>IF(E730="","",MIN(E730,MAX(0,10000-F729))*0.45+MAX(0,E730-MAX(0,10000-F729))*0.25)</f>
        <v/>
      </c>
    </row>
    <row r="731">
      <c r="A731" s="9" t="n"/>
      <c r="F731">
        <f>IF(E731="",F730,F730+E731)</f>
        <v/>
      </c>
      <c r="G731" s="11">
        <f>IF(E731="","",MIN(E731,MAX(0,10000-F730))*0.45+MAX(0,E731-MAX(0,10000-F730))*0.25)</f>
        <v/>
      </c>
    </row>
    <row r="732">
      <c r="A732" s="9" t="n"/>
      <c r="F732">
        <f>IF(E732="",F731,F731+E732)</f>
        <v/>
      </c>
      <c r="G732" s="11">
        <f>IF(E732="","",MIN(E732,MAX(0,10000-F731))*0.45+MAX(0,E732-MAX(0,10000-F731))*0.25)</f>
        <v/>
      </c>
    </row>
    <row r="733">
      <c r="A733" s="9" t="n"/>
      <c r="F733">
        <f>IF(E733="",F732,F732+E733)</f>
        <v/>
      </c>
      <c r="G733" s="11">
        <f>IF(E733="","",MIN(E733,MAX(0,10000-F732))*0.45+MAX(0,E733-MAX(0,10000-F732))*0.25)</f>
        <v/>
      </c>
    </row>
    <row r="734">
      <c r="A734" s="9" t="n"/>
      <c r="F734">
        <f>IF(E734="",F733,F733+E734)</f>
        <v/>
      </c>
      <c r="G734" s="11">
        <f>IF(E734="","",MIN(E734,MAX(0,10000-F733))*0.45+MAX(0,E734-MAX(0,10000-F733))*0.25)</f>
        <v/>
      </c>
    </row>
    <row r="735">
      <c r="A735" s="9" t="n"/>
      <c r="F735">
        <f>IF(E735="",F734,F734+E735)</f>
        <v/>
      </c>
      <c r="G735" s="11">
        <f>IF(E735="","",MIN(E735,MAX(0,10000-F734))*0.45+MAX(0,E735-MAX(0,10000-F734))*0.25)</f>
        <v/>
      </c>
    </row>
    <row r="736">
      <c r="A736" s="9" t="n"/>
      <c r="F736">
        <f>IF(E736="",F735,F735+E736)</f>
        <v/>
      </c>
      <c r="G736" s="11">
        <f>IF(E736="","",MIN(E736,MAX(0,10000-F735))*0.45+MAX(0,E736-MAX(0,10000-F735))*0.25)</f>
        <v/>
      </c>
    </row>
    <row r="737">
      <c r="A737" s="9" t="n"/>
      <c r="F737">
        <f>IF(E737="",F736,F736+E737)</f>
        <v/>
      </c>
      <c r="G737" s="11">
        <f>IF(E737="","",MIN(E737,MAX(0,10000-F736))*0.45+MAX(0,E737-MAX(0,10000-F736))*0.25)</f>
        <v/>
      </c>
    </row>
    <row r="738">
      <c r="A738" s="9" t="n"/>
      <c r="F738">
        <f>IF(E738="",F737,F737+E738)</f>
        <v/>
      </c>
      <c r="G738" s="11">
        <f>IF(E738="","",MIN(E738,MAX(0,10000-F737))*0.45+MAX(0,E738-MAX(0,10000-F737))*0.25)</f>
        <v/>
      </c>
    </row>
    <row r="739">
      <c r="A739" s="9" t="n"/>
      <c r="F739">
        <f>IF(E739="",F738,F738+E739)</f>
        <v/>
      </c>
      <c r="G739" s="11">
        <f>IF(E739="","",MIN(E739,MAX(0,10000-F738))*0.45+MAX(0,E739-MAX(0,10000-F738))*0.25)</f>
        <v/>
      </c>
    </row>
    <row r="740">
      <c r="A740" s="9" t="n"/>
      <c r="F740">
        <f>IF(E740="",F739,F739+E740)</f>
        <v/>
      </c>
      <c r="G740" s="11">
        <f>IF(E740="","",MIN(E740,MAX(0,10000-F739))*0.45+MAX(0,E740-MAX(0,10000-F739))*0.25)</f>
        <v/>
      </c>
    </row>
    <row r="741">
      <c r="A741" s="9" t="n"/>
      <c r="F741">
        <f>IF(E741="",F740,F740+E741)</f>
        <v/>
      </c>
      <c r="G741" s="11">
        <f>IF(E741="","",MIN(E741,MAX(0,10000-F740))*0.45+MAX(0,E741-MAX(0,10000-F740))*0.25)</f>
        <v/>
      </c>
    </row>
    <row r="742">
      <c r="A742" s="9" t="n"/>
      <c r="F742">
        <f>IF(E742="",F741,F741+E742)</f>
        <v/>
      </c>
      <c r="G742" s="11">
        <f>IF(E742="","",MIN(E742,MAX(0,10000-F741))*0.45+MAX(0,E742-MAX(0,10000-F741))*0.25)</f>
        <v/>
      </c>
    </row>
    <row r="743">
      <c r="A743" s="9" t="n"/>
      <c r="F743">
        <f>IF(E743="",F742,F742+E743)</f>
        <v/>
      </c>
      <c r="G743" s="11">
        <f>IF(E743="","",MIN(E743,MAX(0,10000-F742))*0.45+MAX(0,E743-MAX(0,10000-F742))*0.25)</f>
        <v/>
      </c>
    </row>
    <row r="744">
      <c r="A744" s="9" t="n"/>
      <c r="F744">
        <f>IF(E744="",F743,F743+E744)</f>
        <v/>
      </c>
      <c r="G744" s="11">
        <f>IF(E744="","",MIN(E744,MAX(0,10000-F743))*0.45+MAX(0,E744-MAX(0,10000-F743))*0.25)</f>
        <v/>
      </c>
    </row>
    <row r="745">
      <c r="A745" s="9" t="n"/>
      <c r="F745">
        <f>IF(E745="",F744,F744+E745)</f>
        <v/>
      </c>
      <c r="G745" s="11">
        <f>IF(E745="","",MIN(E745,MAX(0,10000-F744))*0.45+MAX(0,E745-MAX(0,10000-F744))*0.25)</f>
        <v/>
      </c>
    </row>
    <row r="746">
      <c r="A746" s="9" t="n"/>
      <c r="F746">
        <f>IF(E746="",F745,F745+E746)</f>
        <v/>
      </c>
      <c r="G746" s="11">
        <f>IF(E746="","",MIN(E746,MAX(0,10000-F745))*0.45+MAX(0,E746-MAX(0,10000-F745))*0.25)</f>
        <v/>
      </c>
    </row>
    <row r="747">
      <c r="A747" s="9" t="n"/>
      <c r="F747">
        <f>IF(E747="",F746,F746+E747)</f>
        <v/>
      </c>
      <c r="G747" s="11">
        <f>IF(E747="","",MIN(E747,MAX(0,10000-F746))*0.45+MAX(0,E747-MAX(0,10000-F746))*0.25)</f>
        <v/>
      </c>
    </row>
    <row r="748">
      <c r="A748" s="9" t="n"/>
      <c r="F748">
        <f>IF(E748="",F747,F747+E748)</f>
        <v/>
      </c>
      <c r="G748" s="11">
        <f>IF(E748="","",MIN(E748,MAX(0,10000-F747))*0.45+MAX(0,E748-MAX(0,10000-F747))*0.25)</f>
        <v/>
      </c>
    </row>
    <row r="749">
      <c r="A749" s="9" t="n"/>
      <c r="F749">
        <f>IF(E749="",F748,F748+E749)</f>
        <v/>
      </c>
      <c r="G749" s="11">
        <f>IF(E749="","",MIN(E749,MAX(0,10000-F748))*0.45+MAX(0,E749-MAX(0,10000-F748))*0.25)</f>
        <v/>
      </c>
    </row>
    <row r="750">
      <c r="A750" s="9" t="n"/>
      <c r="F750">
        <f>IF(E750="",F749,F749+E750)</f>
        <v/>
      </c>
      <c r="G750" s="11">
        <f>IF(E750="","",MIN(E750,MAX(0,10000-F749))*0.45+MAX(0,E750-MAX(0,10000-F749))*0.25)</f>
        <v/>
      </c>
    </row>
    <row r="751">
      <c r="A751" s="9" t="n"/>
      <c r="F751">
        <f>IF(E751="",F750,F750+E751)</f>
        <v/>
      </c>
      <c r="G751" s="11">
        <f>IF(E751="","",MIN(E751,MAX(0,10000-F750))*0.45+MAX(0,E751-MAX(0,10000-F750))*0.25)</f>
        <v/>
      </c>
    </row>
    <row r="752">
      <c r="A752" s="9" t="n"/>
      <c r="F752">
        <f>IF(E752="",F751,F751+E752)</f>
        <v/>
      </c>
      <c r="G752" s="11">
        <f>IF(E752="","",MIN(E752,MAX(0,10000-F751))*0.45+MAX(0,E752-MAX(0,10000-F751))*0.25)</f>
        <v/>
      </c>
    </row>
    <row r="753">
      <c r="A753" s="9" t="n"/>
      <c r="F753">
        <f>IF(E753="",F752,F752+E753)</f>
        <v/>
      </c>
      <c r="G753" s="11">
        <f>IF(E753="","",MIN(E753,MAX(0,10000-F752))*0.45+MAX(0,E753-MAX(0,10000-F752))*0.25)</f>
        <v/>
      </c>
    </row>
    <row r="754">
      <c r="A754" s="9" t="n"/>
      <c r="F754">
        <f>IF(E754="",F753,F753+E754)</f>
        <v/>
      </c>
      <c r="G754" s="11">
        <f>IF(E754="","",MIN(E754,MAX(0,10000-F753))*0.45+MAX(0,E754-MAX(0,10000-F753))*0.25)</f>
        <v/>
      </c>
    </row>
    <row r="755">
      <c r="A755" s="9" t="n"/>
      <c r="F755">
        <f>IF(E755="",F754,F754+E755)</f>
        <v/>
      </c>
      <c r="G755" s="11">
        <f>IF(E755="","",MIN(E755,MAX(0,10000-F754))*0.45+MAX(0,E755-MAX(0,10000-F754))*0.25)</f>
        <v/>
      </c>
    </row>
    <row r="756">
      <c r="A756" s="9" t="n"/>
      <c r="F756">
        <f>IF(E756="",F755,F755+E756)</f>
        <v/>
      </c>
      <c r="G756" s="11">
        <f>IF(E756="","",MIN(E756,MAX(0,10000-F755))*0.45+MAX(0,E756-MAX(0,10000-F755))*0.25)</f>
        <v/>
      </c>
    </row>
    <row r="757">
      <c r="A757" s="9" t="n"/>
      <c r="F757">
        <f>IF(E757="",F756,F756+E757)</f>
        <v/>
      </c>
      <c r="G757" s="11">
        <f>IF(E757="","",MIN(E757,MAX(0,10000-F756))*0.45+MAX(0,E757-MAX(0,10000-F756))*0.25)</f>
        <v/>
      </c>
    </row>
    <row r="758">
      <c r="A758" s="9" t="n"/>
      <c r="F758">
        <f>IF(E758="",F757,F757+E758)</f>
        <v/>
      </c>
      <c r="G758" s="11">
        <f>IF(E758="","",MIN(E758,MAX(0,10000-F757))*0.45+MAX(0,E758-MAX(0,10000-F757))*0.25)</f>
        <v/>
      </c>
    </row>
    <row r="759">
      <c r="A759" s="9" t="n"/>
      <c r="F759">
        <f>IF(E759="",F758,F758+E759)</f>
        <v/>
      </c>
      <c r="G759" s="11">
        <f>IF(E759="","",MIN(E759,MAX(0,10000-F758))*0.45+MAX(0,E759-MAX(0,10000-F758))*0.25)</f>
        <v/>
      </c>
    </row>
    <row r="760">
      <c r="A760" s="9" t="n"/>
      <c r="F760">
        <f>IF(E760="",F759,F759+E760)</f>
        <v/>
      </c>
      <c r="G760" s="11">
        <f>IF(E760="","",MIN(E760,MAX(0,10000-F759))*0.45+MAX(0,E760-MAX(0,10000-F759))*0.25)</f>
        <v/>
      </c>
    </row>
    <row r="761">
      <c r="A761" s="9" t="n"/>
      <c r="F761">
        <f>IF(E761="",F760,F760+E761)</f>
        <v/>
      </c>
      <c r="G761" s="11">
        <f>IF(E761="","",MIN(E761,MAX(0,10000-F760))*0.45+MAX(0,E761-MAX(0,10000-F760))*0.25)</f>
        <v/>
      </c>
    </row>
    <row r="762">
      <c r="A762" s="9" t="n"/>
      <c r="F762">
        <f>IF(E762="",F761,F761+E762)</f>
        <v/>
      </c>
      <c r="G762" s="11">
        <f>IF(E762="","",MIN(E762,MAX(0,10000-F761))*0.45+MAX(0,E762-MAX(0,10000-F761))*0.25)</f>
        <v/>
      </c>
    </row>
    <row r="763">
      <c r="A763" s="9" t="n"/>
      <c r="F763">
        <f>IF(E763="",F762,F762+E763)</f>
        <v/>
      </c>
      <c r="G763" s="11">
        <f>IF(E763="","",MIN(E763,MAX(0,10000-F762))*0.45+MAX(0,E763-MAX(0,10000-F762))*0.25)</f>
        <v/>
      </c>
    </row>
    <row r="764">
      <c r="A764" s="9" t="n"/>
      <c r="F764">
        <f>IF(E764="",F763,F763+E764)</f>
        <v/>
      </c>
      <c r="G764" s="11">
        <f>IF(E764="","",MIN(E764,MAX(0,10000-F763))*0.45+MAX(0,E764-MAX(0,10000-F763))*0.25)</f>
        <v/>
      </c>
    </row>
    <row r="765">
      <c r="A765" s="9" t="n"/>
      <c r="F765">
        <f>IF(E765="",F764,F764+E765)</f>
        <v/>
      </c>
      <c r="G765" s="11">
        <f>IF(E765="","",MIN(E765,MAX(0,10000-F764))*0.45+MAX(0,E765-MAX(0,10000-F764))*0.25)</f>
        <v/>
      </c>
    </row>
    <row r="766">
      <c r="A766" s="9" t="n"/>
      <c r="F766">
        <f>IF(E766="",F765,F765+E766)</f>
        <v/>
      </c>
      <c r="G766" s="11">
        <f>IF(E766="","",MIN(E766,MAX(0,10000-F765))*0.45+MAX(0,E766-MAX(0,10000-F765))*0.25)</f>
        <v/>
      </c>
    </row>
    <row r="767">
      <c r="A767" s="9" t="n"/>
      <c r="F767">
        <f>IF(E767="",F766,F766+E767)</f>
        <v/>
      </c>
      <c r="G767" s="11">
        <f>IF(E767="","",MIN(E767,MAX(0,10000-F766))*0.45+MAX(0,E767-MAX(0,10000-F766))*0.25)</f>
        <v/>
      </c>
    </row>
    <row r="768">
      <c r="A768" s="9" t="n"/>
      <c r="F768">
        <f>IF(E768="",F767,F767+E768)</f>
        <v/>
      </c>
      <c r="G768" s="11">
        <f>IF(E768="","",MIN(E768,MAX(0,10000-F767))*0.45+MAX(0,E768-MAX(0,10000-F767))*0.25)</f>
        <v/>
      </c>
    </row>
    <row r="769">
      <c r="A769" s="9" t="n"/>
      <c r="F769">
        <f>IF(E769="",F768,F768+E769)</f>
        <v/>
      </c>
      <c r="G769" s="11">
        <f>IF(E769="","",MIN(E769,MAX(0,10000-F768))*0.45+MAX(0,E769-MAX(0,10000-F768))*0.25)</f>
        <v/>
      </c>
    </row>
    <row r="770">
      <c r="A770" s="9" t="n"/>
      <c r="F770">
        <f>IF(E770="",F769,F769+E770)</f>
        <v/>
      </c>
      <c r="G770" s="11">
        <f>IF(E770="","",MIN(E770,MAX(0,10000-F769))*0.45+MAX(0,E770-MAX(0,10000-F769))*0.25)</f>
        <v/>
      </c>
    </row>
    <row r="771">
      <c r="A771" s="9" t="n"/>
      <c r="F771">
        <f>IF(E771="",F770,F770+E771)</f>
        <v/>
      </c>
      <c r="G771" s="11">
        <f>IF(E771="","",MIN(E771,MAX(0,10000-F770))*0.45+MAX(0,E771-MAX(0,10000-F770))*0.25)</f>
        <v/>
      </c>
    </row>
    <row r="772">
      <c r="A772" s="9" t="n"/>
      <c r="F772">
        <f>IF(E772="",F771,F771+E772)</f>
        <v/>
      </c>
      <c r="G772" s="11">
        <f>IF(E772="","",MIN(E772,MAX(0,10000-F771))*0.45+MAX(0,E772-MAX(0,10000-F771))*0.25)</f>
        <v/>
      </c>
    </row>
    <row r="773">
      <c r="A773" s="9" t="n"/>
      <c r="F773">
        <f>IF(E773="",F772,F772+E773)</f>
        <v/>
      </c>
      <c r="G773" s="11">
        <f>IF(E773="","",MIN(E773,MAX(0,10000-F772))*0.45+MAX(0,E773-MAX(0,10000-F772))*0.25)</f>
        <v/>
      </c>
    </row>
    <row r="774">
      <c r="A774" s="9" t="n"/>
      <c r="F774">
        <f>IF(E774="",F773,F773+E774)</f>
        <v/>
      </c>
      <c r="G774" s="11">
        <f>IF(E774="","",MIN(E774,MAX(0,10000-F773))*0.45+MAX(0,E774-MAX(0,10000-F773))*0.25)</f>
        <v/>
      </c>
    </row>
    <row r="775">
      <c r="A775" s="9" t="n"/>
      <c r="F775">
        <f>IF(E775="",F774,F774+E775)</f>
        <v/>
      </c>
      <c r="G775" s="11">
        <f>IF(E775="","",MIN(E775,MAX(0,10000-F774))*0.45+MAX(0,E775-MAX(0,10000-F774))*0.25)</f>
        <v/>
      </c>
    </row>
    <row r="776">
      <c r="A776" s="9" t="n"/>
      <c r="F776">
        <f>IF(E776="",F775,F775+E776)</f>
        <v/>
      </c>
      <c r="G776" s="11">
        <f>IF(E776="","",MIN(E776,MAX(0,10000-F775))*0.45+MAX(0,E776-MAX(0,10000-F775))*0.25)</f>
        <v/>
      </c>
    </row>
    <row r="777">
      <c r="A777" s="9" t="n"/>
      <c r="F777">
        <f>IF(E777="",F776,F776+E777)</f>
        <v/>
      </c>
      <c r="G777" s="11">
        <f>IF(E777="","",MIN(E777,MAX(0,10000-F776))*0.45+MAX(0,E777-MAX(0,10000-F776))*0.25)</f>
        <v/>
      </c>
    </row>
    <row r="778">
      <c r="A778" s="9" t="n"/>
      <c r="F778">
        <f>IF(E778="",F777,F777+E778)</f>
        <v/>
      </c>
      <c r="G778" s="11">
        <f>IF(E778="","",MIN(E778,MAX(0,10000-F777))*0.45+MAX(0,E778-MAX(0,10000-F777))*0.25)</f>
        <v/>
      </c>
    </row>
    <row r="779">
      <c r="A779" s="9" t="n"/>
      <c r="F779">
        <f>IF(E779="",F778,F778+E779)</f>
        <v/>
      </c>
      <c r="G779" s="11">
        <f>IF(E779="","",MIN(E779,MAX(0,10000-F778))*0.45+MAX(0,E779-MAX(0,10000-F778))*0.25)</f>
        <v/>
      </c>
    </row>
    <row r="780">
      <c r="A780" s="9" t="n"/>
      <c r="F780">
        <f>IF(E780="",F779,F779+E780)</f>
        <v/>
      </c>
      <c r="G780" s="11">
        <f>IF(E780="","",MIN(E780,MAX(0,10000-F779))*0.45+MAX(0,E780-MAX(0,10000-F779))*0.25)</f>
        <v/>
      </c>
    </row>
    <row r="781">
      <c r="A781" s="9" t="n"/>
      <c r="F781">
        <f>IF(E781="",F780,F780+E781)</f>
        <v/>
      </c>
      <c r="G781" s="11">
        <f>IF(E781="","",MIN(E781,MAX(0,10000-F780))*0.45+MAX(0,E781-MAX(0,10000-F780))*0.25)</f>
        <v/>
      </c>
    </row>
    <row r="782">
      <c r="A782" s="9" t="n"/>
      <c r="F782">
        <f>IF(E782="",F781,F781+E782)</f>
        <v/>
      </c>
      <c r="G782" s="11">
        <f>IF(E782="","",MIN(E782,MAX(0,10000-F781))*0.45+MAX(0,E782-MAX(0,10000-F781))*0.25)</f>
        <v/>
      </c>
    </row>
    <row r="783">
      <c r="A783" s="9" t="n"/>
      <c r="F783">
        <f>IF(E783="",F782,F782+E783)</f>
        <v/>
      </c>
      <c r="G783" s="11">
        <f>IF(E783="","",MIN(E783,MAX(0,10000-F782))*0.45+MAX(0,E783-MAX(0,10000-F782))*0.25)</f>
        <v/>
      </c>
    </row>
    <row r="784">
      <c r="A784" s="9" t="n"/>
      <c r="F784">
        <f>IF(E784="",F783,F783+E784)</f>
        <v/>
      </c>
      <c r="G784" s="11">
        <f>IF(E784="","",MIN(E784,MAX(0,10000-F783))*0.45+MAX(0,E784-MAX(0,10000-F783))*0.25)</f>
        <v/>
      </c>
    </row>
    <row r="785">
      <c r="A785" s="9" t="n"/>
      <c r="F785">
        <f>IF(E785="",F784,F784+E785)</f>
        <v/>
      </c>
      <c r="G785" s="11">
        <f>IF(E785="","",MIN(E785,MAX(0,10000-F784))*0.45+MAX(0,E785-MAX(0,10000-F784))*0.25)</f>
        <v/>
      </c>
    </row>
    <row r="786">
      <c r="A786" s="9" t="n"/>
      <c r="F786">
        <f>IF(E786="",F785,F785+E786)</f>
        <v/>
      </c>
      <c r="G786" s="11">
        <f>IF(E786="","",MIN(E786,MAX(0,10000-F785))*0.45+MAX(0,E786-MAX(0,10000-F785))*0.25)</f>
        <v/>
      </c>
    </row>
    <row r="787">
      <c r="A787" s="9" t="n"/>
      <c r="F787">
        <f>IF(E787="",F786,F786+E787)</f>
        <v/>
      </c>
      <c r="G787" s="11">
        <f>IF(E787="","",MIN(E787,MAX(0,10000-F786))*0.45+MAX(0,E787-MAX(0,10000-F786))*0.25)</f>
        <v/>
      </c>
    </row>
    <row r="788">
      <c r="A788" s="9" t="n"/>
      <c r="F788">
        <f>IF(E788="",F787,F787+E788)</f>
        <v/>
      </c>
      <c r="G788" s="11">
        <f>IF(E788="","",MIN(E788,MAX(0,10000-F787))*0.45+MAX(0,E788-MAX(0,10000-F787))*0.25)</f>
        <v/>
      </c>
    </row>
    <row r="789">
      <c r="A789" s="9" t="n"/>
      <c r="F789">
        <f>IF(E789="",F788,F788+E789)</f>
        <v/>
      </c>
      <c r="G789" s="11">
        <f>IF(E789="","",MIN(E789,MAX(0,10000-F788))*0.45+MAX(0,E789-MAX(0,10000-F788))*0.25)</f>
        <v/>
      </c>
    </row>
    <row r="790">
      <c r="A790" s="9" t="n"/>
      <c r="F790">
        <f>IF(E790="",F789,F789+E790)</f>
        <v/>
      </c>
      <c r="G790" s="11">
        <f>IF(E790="","",MIN(E790,MAX(0,10000-F789))*0.45+MAX(0,E790-MAX(0,10000-F789))*0.25)</f>
        <v/>
      </c>
    </row>
    <row r="791">
      <c r="A791" s="9" t="n"/>
      <c r="F791">
        <f>IF(E791="",F790,F790+E791)</f>
        <v/>
      </c>
      <c r="G791" s="11">
        <f>IF(E791="","",MIN(E791,MAX(0,10000-F790))*0.45+MAX(0,E791-MAX(0,10000-F790))*0.25)</f>
        <v/>
      </c>
    </row>
    <row r="792">
      <c r="A792" s="9" t="n"/>
      <c r="F792">
        <f>IF(E792="",F791,F791+E792)</f>
        <v/>
      </c>
      <c r="G792" s="11">
        <f>IF(E792="","",MIN(E792,MAX(0,10000-F791))*0.45+MAX(0,E792-MAX(0,10000-F791))*0.25)</f>
        <v/>
      </c>
    </row>
    <row r="793">
      <c r="A793" s="9" t="n"/>
      <c r="F793">
        <f>IF(E793="",F792,F792+E793)</f>
        <v/>
      </c>
      <c r="G793" s="11">
        <f>IF(E793="","",MIN(E793,MAX(0,10000-F792))*0.45+MAX(0,E793-MAX(0,10000-F792))*0.25)</f>
        <v/>
      </c>
    </row>
    <row r="794">
      <c r="A794" s="9" t="n"/>
      <c r="F794">
        <f>IF(E794="",F793,F793+E794)</f>
        <v/>
      </c>
      <c r="G794" s="11">
        <f>IF(E794="","",MIN(E794,MAX(0,10000-F793))*0.45+MAX(0,E794-MAX(0,10000-F793))*0.25)</f>
        <v/>
      </c>
    </row>
    <row r="795">
      <c r="A795" s="9" t="n"/>
      <c r="F795">
        <f>IF(E795="",F794,F794+E795)</f>
        <v/>
      </c>
      <c r="G795" s="11">
        <f>IF(E795="","",MIN(E795,MAX(0,10000-F794))*0.45+MAX(0,E795-MAX(0,10000-F794))*0.25)</f>
        <v/>
      </c>
    </row>
    <row r="796">
      <c r="A796" s="9" t="n"/>
      <c r="F796">
        <f>IF(E796="",F795,F795+E796)</f>
        <v/>
      </c>
      <c r="G796" s="11">
        <f>IF(E796="","",MIN(E796,MAX(0,10000-F795))*0.45+MAX(0,E796-MAX(0,10000-F795))*0.25)</f>
        <v/>
      </c>
    </row>
    <row r="797">
      <c r="A797" s="9" t="n"/>
      <c r="F797">
        <f>IF(E797="",F796,F796+E797)</f>
        <v/>
      </c>
      <c r="G797" s="11">
        <f>IF(E797="","",MIN(E797,MAX(0,10000-F796))*0.45+MAX(0,E797-MAX(0,10000-F796))*0.25)</f>
        <v/>
      </c>
    </row>
    <row r="798">
      <c r="A798" s="9" t="n"/>
      <c r="F798">
        <f>IF(E798="",F797,F797+E798)</f>
        <v/>
      </c>
      <c r="G798" s="11">
        <f>IF(E798="","",MIN(E798,MAX(0,10000-F797))*0.45+MAX(0,E798-MAX(0,10000-F797))*0.25)</f>
        <v/>
      </c>
    </row>
    <row r="799">
      <c r="A799" s="9" t="n"/>
      <c r="F799">
        <f>IF(E799="",F798,F798+E799)</f>
        <v/>
      </c>
      <c r="G799" s="11">
        <f>IF(E799="","",MIN(E799,MAX(0,10000-F798))*0.45+MAX(0,E799-MAX(0,10000-F798))*0.25)</f>
        <v/>
      </c>
    </row>
    <row r="800">
      <c r="A800" s="9" t="n"/>
      <c r="F800">
        <f>IF(E800="",F799,F799+E800)</f>
        <v/>
      </c>
      <c r="G800" s="11">
        <f>IF(E800="","",MIN(E800,MAX(0,10000-F799))*0.45+MAX(0,E800-MAX(0,10000-F799))*0.25)</f>
        <v/>
      </c>
    </row>
    <row r="801">
      <c r="A801" s="9" t="n"/>
      <c r="F801">
        <f>IF(E801="",F800,F800+E801)</f>
        <v/>
      </c>
      <c r="G801" s="11">
        <f>IF(E801="","",MIN(E801,MAX(0,10000-F800))*0.45+MAX(0,E801-MAX(0,10000-F800))*0.25)</f>
        <v/>
      </c>
    </row>
    <row r="802">
      <c r="A802" s="9" t="n"/>
      <c r="F802">
        <f>IF(E802="",F801,F801+E802)</f>
        <v/>
      </c>
      <c r="G802" s="11">
        <f>IF(E802="","",MIN(E802,MAX(0,10000-F801))*0.45+MAX(0,E802-MAX(0,10000-F801))*0.25)</f>
        <v/>
      </c>
    </row>
    <row r="803">
      <c r="A803" s="9" t="n"/>
      <c r="F803">
        <f>IF(E803="",F802,F802+E803)</f>
        <v/>
      </c>
      <c r="G803" s="11">
        <f>IF(E803="","",MIN(E803,MAX(0,10000-F802))*0.45+MAX(0,E803-MAX(0,10000-F802))*0.25)</f>
        <v/>
      </c>
    </row>
    <row r="804">
      <c r="A804" s="9" t="n"/>
      <c r="F804">
        <f>IF(E804="",F803,F803+E804)</f>
        <v/>
      </c>
      <c r="G804" s="11">
        <f>IF(E804="","",MIN(E804,MAX(0,10000-F803))*0.45+MAX(0,E804-MAX(0,10000-F803))*0.25)</f>
        <v/>
      </c>
    </row>
    <row r="805">
      <c r="A805" s="9" t="n"/>
      <c r="F805">
        <f>IF(E805="",F804,F804+E805)</f>
        <v/>
      </c>
      <c r="G805" s="11">
        <f>IF(E805="","",MIN(E805,MAX(0,10000-F804))*0.45+MAX(0,E805-MAX(0,10000-F804))*0.25)</f>
        <v/>
      </c>
    </row>
    <row r="806">
      <c r="A806" s="9" t="n"/>
      <c r="F806">
        <f>IF(E806="",F805,F805+E806)</f>
        <v/>
      </c>
      <c r="G806" s="11">
        <f>IF(E806="","",MIN(E806,MAX(0,10000-F805))*0.45+MAX(0,E806-MAX(0,10000-F805))*0.25)</f>
        <v/>
      </c>
    </row>
    <row r="807">
      <c r="A807" s="9" t="n"/>
      <c r="F807">
        <f>IF(E807="",F806,F806+E807)</f>
        <v/>
      </c>
      <c r="G807" s="11">
        <f>IF(E807="","",MIN(E807,MAX(0,10000-F806))*0.45+MAX(0,E807-MAX(0,10000-F806))*0.25)</f>
        <v/>
      </c>
    </row>
    <row r="808">
      <c r="A808" s="9" t="n"/>
      <c r="F808">
        <f>IF(E808="",F807,F807+E808)</f>
        <v/>
      </c>
      <c r="G808" s="11">
        <f>IF(E808="","",MIN(E808,MAX(0,10000-F807))*0.45+MAX(0,E808-MAX(0,10000-F807))*0.25)</f>
        <v/>
      </c>
    </row>
    <row r="809">
      <c r="A809" s="9" t="n"/>
      <c r="F809">
        <f>IF(E809="",F808,F808+E809)</f>
        <v/>
      </c>
      <c r="G809" s="11">
        <f>IF(E809="","",MIN(E809,MAX(0,10000-F808))*0.45+MAX(0,E809-MAX(0,10000-F808))*0.25)</f>
        <v/>
      </c>
    </row>
    <row r="810">
      <c r="A810" s="9" t="n"/>
      <c r="F810">
        <f>IF(E810="",F809,F809+E810)</f>
        <v/>
      </c>
      <c r="G810" s="11">
        <f>IF(E810="","",MIN(E810,MAX(0,10000-F809))*0.45+MAX(0,E810-MAX(0,10000-F809))*0.25)</f>
        <v/>
      </c>
    </row>
    <row r="811">
      <c r="A811" s="9" t="n"/>
      <c r="F811">
        <f>IF(E811="",F810,F810+E811)</f>
        <v/>
      </c>
      <c r="G811" s="11">
        <f>IF(E811="","",MIN(E811,MAX(0,10000-F810))*0.45+MAX(0,E811-MAX(0,10000-F810))*0.25)</f>
        <v/>
      </c>
    </row>
    <row r="812">
      <c r="A812" s="9" t="n"/>
      <c r="F812">
        <f>IF(E812="",F811,F811+E812)</f>
        <v/>
      </c>
      <c r="G812" s="11">
        <f>IF(E812="","",MIN(E812,MAX(0,10000-F811))*0.45+MAX(0,E812-MAX(0,10000-F811))*0.25)</f>
        <v/>
      </c>
    </row>
    <row r="813">
      <c r="A813" s="9" t="n"/>
      <c r="F813">
        <f>IF(E813="",F812,F812+E813)</f>
        <v/>
      </c>
      <c r="G813" s="11">
        <f>IF(E813="","",MIN(E813,MAX(0,10000-F812))*0.45+MAX(0,E813-MAX(0,10000-F812))*0.25)</f>
        <v/>
      </c>
    </row>
    <row r="814">
      <c r="A814" s="9" t="n"/>
      <c r="F814">
        <f>IF(E814="",F813,F813+E814)</f>
        <v/>
      </c>
      <c r="G814" s="11">
        <f>IF(E814="","",MIN(E814,MAX(0,10000-F813))*0.45+MAX(0,E814-MAX(0,10000-F813))*0.25)</f>
        <v/>
      </c>
    </row>
    <row r="815">
      <c r="A815" s="9" t="n"/>
      <c r="F815">
        <f>IF(E815="",F814,F814+E815)</f>
        <v/>
      </c>
      <c r="G815" s="11">
        <f>IF(E815="","",MIN(E815,MAX(0,10000-F814))*0.45+MAX(0,E815-MAX(0,10000-F814))*0.25)</f>
        <v/>
      </c>
    </row>
    <row r="816">
      <c r="A816" s="9" t="n"/>
      <c r="F816">
        <f>IF(E816="",F815,F815+E816)</f>
        <v/>
      </c>
      <c r="G816" s="11">
        <f>IF(E816="","",MIN(E816,MAX(0,10000-F815))*0.45+MAX(0,E816-MAX(0,10000-F815))*0.25)</f>
        <v/>
      </c>
    </row>
    <row r="817">
      <c r="A817" s="9" t="n"/>
      <c r="F817">
        <f>IF(E817="",F816,F816+E817)</f>
        <v/>
      </c>
      <c r="G817" s="11">
        <f>IF(E817="","",MIN(E817,MAX(0,10000-F816))*0.45+MAX(0,E817-MAX(0,10000-F816))*0.25)</f>
        <v/>
      </c>
    </row>
    <row r="818">
      <c r="A818" s="9" t="n"/>
      <c r="F818">
        <f>IF(E818="",F817,F817+E818)</f>
        <v/>
      </c>
      <c r="G818" s="11">
        <f>IF(E818="","",MIN(E818,MAX(0,10000-F817))*0.45+MAX(0,E818-MAX(0,10000-F817))*0.25)</f>
        <v/>
      </c>
    </row>
    <row r="819">
      <c r="A819" s="9" t="n"/>
      <c r="F819">
        <f>IF(E819="",F818,F818+E819)</f>
        <v/>
      </c>
      <c r="G819" s="11">
        <f>IF(E819="","",MIN(E819,MAX(0,10000-F818))*0.45+MAX(0,E819-MAX(0,10000-F818))*0.25)</f>
        <v/>
      </c>
    </row>
    <row r="820">
      <c r="A820" s="9" t="n"/>
      <c r="F820">
        <f>IF(E820="",F819,F819+E820)</f>
        <v/>
      </c>
      <c r="G820" s="11">
        <f>IF(E820="","",MIN(E820,MAX(0,10000-F819))*0.45+MAX(0,E820-MAX(0,10000-F819))*0.25)</f>
        <v/>
      </c>
    </row>
    <row r="821">
      <c r="A821" s="9" t="n"/>
      <c r="F821">
        <f>IF(E821="",F820,F820+E821)</f>
        <v/>
      </c>
      <c r="G821" s="11">
        <f>IF(E821="","",MIN(E821,MAX(0,10000-F820))*0.45+MAX(0,E821-MAX(0,10000-F820))*0.25)</f>
        <v/>
      </c>
    </row>
    <row r="822">
      <c r="A822" s="9" t="n"/>
      <c r="F822">
        <f>IF(E822="",F821,F821+E822)</f>
        <v/>
      </c>
      <c r="G822" s="11">
        <f>IF(E822="","",MIN(E822,MAX(0,10000-F821))*0.45+MAX(0,E822-MAX(0,10000-F821))*0.25)</f>
        <v/>
      </c>
    </row>
    <row r="823">
      <c r="A823" s="9" t="n"/>
      <c r="F823">
        <f>IF(E823="",F822,F822+E823)</f>
        <v/>
      </c>
      <c r="G823" s="11">
        <f>IF(E823="","",MIN(E823,MAX(0,10000-F822))*0.45+MAX(0,E823-MAX(0,10000-F822))*0.25)</f>
        <v/>
      </c>
    </row>
    <row r="824">
      <c r="A824" s="9" t="n"/>
      <c r="F824">
        <f>IF(E824="",F823,F823+E824)</f>
        <v/>
      </c>
      <c r="G824" s="11">
        <f>IF(E824="","",MIN(E824,MAX(0,10000-F823))*0.45+MAX(0,E824-MAX(0,10000-F823))*0.25)</f>
        <v/>
      </c>
    </row>
    <row r="825">
      <c r="A825" s="9" t="n"/>
      <c r="F825">
        <f>IF(E825="",F824,F824+E825)</f>
        <v/>
      </c>
      <c r="G825" s="11">
        <f>IF(E825="","",MIN(E825,MAX(0,10000-F824))*0.45+MAX(0,E825-MAX(0,10000-F824))*0.25)</f>
        <v/>
      </c>
    </row>
    <row r="826">
      <c r="A826" s="9" t="n"/>
      <c r="F826">
        <f>IF(E826="",F825,F825+E826)</f>
        <v/>
      </c>
      <c r="G826" s="11">
        <f>IF(E826="","",MIN(E826,MAX(0,10000-F825))*0.45+MAX(0,E826-MAX(0,10000-F825))*0.25)</f>
        <v/>
      </c>
    </row>
    <row r="827">
      <c r="A827" s="9" t="n"/>
      <c r="F827">
        <f>IF(E827="",F826,F826+E827)</f>
        <v/>
      </c>
      <c r="G827" s="11">
        <f>IF(E827="","",MIN(E827,MAX(0,10000-F826))*0.45+MAX(0,E827-MAX(0,10000-F826))*0.25)</f>
        <v/>
      </c>
    </row>
    <row r="828">
      <c r="A828" s="9" t="n"/>
      <c r="F828">
        <f>IF(E828="",F827,F827+E828)</f>
        <v/>
      </c>
      <c r="G828" s="11">
        <f>IF(E828="","",MIN(E828,MAX(0,10000-F827))*0.45+MAX(0,E828-MAX(0,10000-F827))*0.25)</f>
        <v/>
      </c>
    </row>
    <row r="829">
      <c r="A829" s="9" t="n"/>
      <c r="F829">
        <f>IF(E829="",F828,F828+E829)</f>
        <v/>
      </c>
      <c r="G829" s="11">
        <f>IF(E829="","",MIN(E829,MAX(0,10000-F828))*0.45+MAX(0,E829-MAX(0,10000-F828))*0.25)</f>
        <v/>
      </c>
    </row>
    <row r="830">
      <c r="A830" s="9" t="n"/>
      <c r="F830">
        <f>IF(E830="",F829,F829+E830)</f>
        <v/>
      </c>
      <c r="G830" s="11">
        <f>IF(E830="","",MIN(E830,MAX(0,10000-F829))*0.45+MAX(0,E830-MAX(0,10000-F829))*0.25)</f>
        <v/>
      </c>
    </row>
    <row r="831">
      <c r="A831" s="9" t="n"/>
      <c r="F831">
        <f>IF(E831="",F830,F830+E831)</f>
        <v/>
      </c>
      <c r="G831" s="11">
        <f>IF(E831="","",MIN(E831,MAX(0,10000-F830))*0.45+MAX(0,E831-MAX(0,10000-F830))*0.25)</f>
        <v/>
      </c>
    </row>
    <row r="832">
      <c r="A832" s="9" t="n"/>
      <c r="F832">
        <f>IF(E832="",F831,F831+E832)</f>
        <v/>
      </c>
      <c r="G832" s="11">
        <f>IF(E832="","",MIN(E832,MAX(0,10000-F831))*0.45+MAX(0,E832-MAX(0,10000-F831))*0.25)</f>
        <v/>
      </c>
    </row>
    <row r="833">
      <c r="A833" s="9" t="n"/>
      <c r="F833">
        <f>IF(E833="",F832,F832+E833)</f>
        <v/>
      </c>
      <c r="G833" s="11">
        <f>IF(E833="","",MIN(E833,MAX(0,10000-F832))*0.45+MAX(0,E833-MAX(0,10000-F832))*0.25)</f>
        <v/>
      </c>
    </row>
    <row r="834">
      <c r="A834" s="9" t="n"/>
      <c r="F834">
        <f>IF(E834="",F833,F833+E834)</f>
        <v/>
      </c>
      <c r="G834" s="11">
        <f>IF(E834="","",MIN(E834,MAX(0,10000-F833))*0.45+MAX(0,E834-MAX(0,10000-F833))*0.25)</f>
        <v/>
      </c>
    </row>
    <row r="835">
      <c r="A835" s="9" t="n"/>
      <c r="F835">
        <f>IF(E835="",F834,F834+E835)</f>
        <v/>
      </c>
      <c r="G835" s="11">
        <f>IF(E835="","",MIN(E835,MAX(0,10000-F834))*0.45+MAX(0,E835-MAX(0,10000-F834))*0.25)</f>
        <v/>
      </c>
    </row>
    <row r="836">
      <c r="A836" s="9" t="n"/>
      <c r="F836">
        <f>IF(E836="",F835,F835+E836)</f>
        <v/>
      </c>
      <c r="G836" s="11">
        <f>IF(E836="","",MIN(E836,MAX(0,10000-F835))*0.45+MAX(0,E836-MAX(0,10000-F835))*0.25)</f>
        <v/>
      </c>
    </row>
    <row r="837">
      <c r="A837" s="9" t="n"/>
      <c r="F837">
        <f>IF(E837="",F836,F836+E837)</f>
        <v/>
      </c>
      <c r="G837" s="11">
        <f>IF(E837="","",MIN(E837,MAX(0,10000-F836))*0.45+MAX(0,E837-MAX(0,10000-F836))*0.25)</f>
        <v/>
      </c>
    </row>
    <row r="838">
      <c r="A838" s="9" t="n"/>
      <c r="F838">
        <f>IF(E838="",F837,F837+E838)</f>
        <v/>
      </c>
      <c r="G838" s="11">
        <f>IF(E838="","",MIN(E838,MAX(0,10000-F837))*0.45+MAX(0,E838-MAX(0,10000-F837))*0.25)</f>
        <v/>
      </c>
    </row>
    <row r="839">
      <c r="A839" s="9" t="n"/>
      <c r="F839">
        <f>IF(E839="",F838,F838+E839)</f>
        <v/>
      </c>
      <c r="G839" s="11">
        <f>IF(E839="","",MIN(E839,MAX(0,10000-F838))*0.45+MAX(0,E839-MAX(0,10000-F838))*0.25)</f>
        <v/>
      </c>
    </row>
    <row r="840">
      <c r="A840" s="9" t="n"/>
      <c r="F840">
        <f>IF(E840="",F839,F839+E840)</f>
        <v/>
      </c>
      <c r="G840" s="11">
        <f>IF(E840="","",MIN(E840,MAX(0,10000-F839))*0.45+MAX(0,E840-MAX(0,10000-F839))*0.25)</f>
        <v/>
      </c>
    </row>
    <row r="841">
      <c r="A841" s="9" t="n"/>
      <c r="F841">
        <f>IF(E841="",F840,F840+E841)</f>
        <v/>
      </c>
      <c r="G841" s="11">
        <f>IF(E841="","",MIN(E841,MAX(0,10000-F840))*0.45+MAX(0,E841-MAX(0,10000-F840))*0.25)</f>
        <v/>
      </c>
    </row>
    <row r="842">
      <c r="A842" s="9" t="n"/>
      <c r="F842">
        <f>IF(E842="",F841,F841+E842)</f>
        <v/>
      </c>
      <c r="G842" s="11">
        <f>IF(E842="","",MIN(E842,MAX(0,10000-F841))*0.45+MAX(0,E842-MAX(0,10000-F841))*0.25)</f>
        <v/>
      </c>
    </row>
    <row r="843">
      <c r="A843" s="9" t="n"/>
      <c r="F843">
        <f>IF(E843="",F842,F842+E843)</f>
        <v/>
      </c>
      <c r="G843" s="11">
        <f>IF(E843="","",MIN(E843,MAX(0,10000-F842))*0.45+MAX(0,E843-MAX(0,10000-F842))*0.25)</f>
        <v/>
      </c>
    </row>
    <row r="844">
      <c r="A844" s="9" t="n"/>
      <c r="F844">
        <f>IF(E844="",F843,F843+E844)</f>
        <v/>
      </c>
      <c r="G844" s="11">
        <f>IF(E844="","",MIN(E844,MAX(0,10000-F843))*0.45+MAX(0,E844-MAX(0,10000-F843))*0.25)</f>
        <v/>
      </c>
    </row>
    <row r="845">
      <c r="A845" s="9" t="n"/>
      <c r="F845">
        <f>IF(E845="",F844,F844+E845)</f>
        <v/>
      </c>
      <c r="G845" s="11">
        <f>IF(E845="","",MIN(E845,MAX(0,10000-F844))*0.45+MAX(0,E845-MAX(0,10000-F844))*0.25)</f>
        <v/>
      </c>
    </row>
    <row r="846">
      <c r="A846" s="9" t="n"/>
      <c r="F846">
        <f>IF(E846="",F845,F845+E846)</f>
        <v/>
      </c>
      <c r="G846" s="11">
        <f>IF(E846="","",MIN(E846,MAX(0,10000-F845))*0.45+MAX(0,E846-MAX(0,10000-F845))*0.25)</f>
        <v/>
      </c>
    </row>
    <row r="847">
      <c r="A847" s="9" t="n"/>
      <c r="F847">
        <f>IF(E847="",F846,F846+E847)</f>
        <v/>
      </c>
      <c r="G847" s="11">
        <f>IF(E847="","",MIN(E847,MAX(0,10000-F846))*0.45+MAX(0,E847-MAX(0,10000-F846))*0.25)</f>
        <v/>
      </c>
    </row>
    <row r="848">
      <c r="A848" s="9" t="n"/>
      <c r="F848">
        <f>IF(E848="",F847,F847+E848)</f>
        <v/>
      </c>
      <c r="G848" s="11">
        <f>IF(E848="","",MIN(E848,MAX(0,10000-F847))*0.45+MAX(0,E848-MAX(0,10000-F847))*0.25)</f>
        <v/>
      </c>
    </row>
    <row r="849">
      <c r="A849" s="9" t="n"/>
      <c r="F849">
        <f>IF(E849="",F848,F848+E849)</f>
        <v/>
      </c>
      <c r="G849" s="11">
        <f>IF(E849="","",MIN(E849,MAX(0,10000-F848))*0.45+MAX(0,E849-MAX(0,10000-F848))*0.25)</f>
        <v/>
      </c>
    </row>
    <row r="850">
      <c r="A850" s="9" t="n"/>
      <c r="F850">
        <f>IF(E850="",F849,F849+E850)</f>
        <v/>
      </c>
      <c r="G850" s="11">
        <f>IF(E850="","",MIN(E850,MAX(0,10000-F849))*0.45+MAX(0,E850-MAX(0,10000-F849))*0.25)</f>
        <v/>
      </c>
    </row>
    <row r="851">
      <c r="A851" s="9" t="n"/>
      <c r="F851">
        <f>IF(E851="",F850,F850+E851)</f>
        <v/>
      </c>
      <c r="G851" s="11">
        <f>IF(E851="","",MIN(E851,MAX(0,10000-F850))*0.45+MAX(0,E851-MAX(0,10000-F850))*0.25)</f>
        <v/>
      </c>
    </row>
    <row r="852">
      <c r="A852" s="9" t="n"/>
      <c r="F852">
        <f>IF(E852="",F851,F851+E852)</f>
        <v/>
      </c>
      <c r="G852" s="11">
        <f>IF(E852="","",MIN(E852,MAX(0,10000-F851))*0.45+MAX(0,E852-MAX(0,10000-F851))*0.25)</f>
        <v/>
      </c>
    </row>
    <row r="853">
      <c r="A853" s="9" t="n"/>
      <c r="F853">
        <f>IF(E853="",F852,F852+E853)</f>
        <v/>
      </c>
      <c r="G853" s="11">
        <f>IF(E853="","",MIN(E853,MAX(0,10000-F852))*0.45+MAX(0,E853-MAX(0,10000-F852))*0.25)</f>
        <v/>
      </c>
    </row>
    <row r="854">
      <c r="A854" s="9" t="n"/>
      <c r="F854">
        <f>IF(E854="",F853,F853+E854)</f>
        <v/>
      </c>
      <c r="G854" s="11">
        <f>IF(E854="","",MIN(E854,MAX(0,10000-F853))*0.45+MAX(0,E854-MAX(0,10000-F853))*0.25)</f>
        <v/>
      </c>
    </row>
    <row r="855">
      <c r="A855" s="9" t="n"/>
      <c r="F855">
        <f>IF(E855="",F854,F854+E855)</f>
        <v/>
      </c>
      <c r="G855" s="11">
        <f>IF(E855="","",MIN(E855,MAX(0,10000-F854))*0.45+MAX(0,E855-MAX(0,10000-F854))*0.25)</f>
        <v/>
      </c>
    </row>
    <row r="856">
      <c r="A856" s="9" t="n"/>
      <c r="F856">
        <f>IF(E856="",F855,F855+E856)</f>
        <v/>
      </c>
      <c r="G856" s="11">
        <f>IF(E856="","",MIN(E856,MAX(0,10000-F855))*0.45+MAX(0,E856-MAX(0,10000-F855))*0.25)</f>
        <v/>
      </c>
    </row>
    <row r="857">
      <c r="A857" s="9" t="n"/>
      <c r="F857">
        <f>IF(E857="",F856,F856+E857)</f>
        <v/>
      </c>
      <c r="G857" s="11">
        <f>IF(E857="","",MIN(E857,MAX(0,10000-F856))*0.45+MAX(0,E857-MAX(0,10000-F856))*0.25)</f>
        <v/>
      </c>
    </row>
    <row r="858">
      <c r="A858" s="9" t="n"/>
      <c r="F858">
        <f>IF(E858="",F857,F857+E858)</f>
        <v/>
      </c>
      <c r="G858" s="11">
        <f>IF(E858="","",MIN(E858,MAX(0,10000-F857))*0.45+MAX(0,E858-MAX(0,10000-F857))*0.25)</f>
        <v/>
      </c>
    </row>
    <row r="859">
      <c r="A859" s="9" t="n"/>
      <c r="F859">
        <f>IF(E859="",F858,F858+E859)</f>
        <v/>
      </c>
      <c r="G859" s="11">
        <f>IF(E859="","",MIN(E859,MAX(0,10000-F858))*0.45+MAX(0,E859-MAX(0,10000-F858))*0.25)</f>
        <v/>
      </c>
    </row>
    <row r="860">
      <c r="A860" s="9" t="n"/>
      <c r="F860">
        <f>IF(E860="",F859,F859+E860)</f>
        <v/>
      </c>
      <c r="G860" s="11">
        <f>IF(E860="","",MIN(E860,MAX(0,10000-F859))*0.45+MAX(0,E860-MAX(0,10000-F859))*0.25)</f>
        <v/>
      </c>
    </row>
    <row r="861">
      <c r="A861" s="9" t="n"/>
      <c r="F861">
        <f>IF(E861="",F860,F860+E861)</f>
        <v/>
      </c>
      <c r="G861" s="11">
        <f>IF(E861="","",MIN(E861,MAX(0,10000-F860))*0.45+MAX(0,E861-MAX(0,10000-F860))*0.25)</f>
        <v/>
      </c>
    </row>
    <row r="862">
      <c r="A862" s="9" t="n"/>
      <c r="F862">
        <f>IF(E862="",F861,F861+E862)</f>
        <v/>
      </c>
      <c r="G862" s="11">
        <f>IF(E862="","",MIN(E862,MAX(0,10000-F861))*0.45+MAX(0,E862-MAX(0,10000-F861))*0.25)</f>
        <v/>
      </c>
    </row>
    <row r="863">
      <c r="A863" s="9" t="n"/>
      <c r="F863">
        <f>IF(E863="",F862,F862+E863)</f>
        <v/>
      </c>
      <c r="G863" s="11">
        <f>IF(E863="","",MIN(E863,MAX(0,10000-F862))*0.45+MAX(0,E863-MAX(0,10000-F862))*0.25)</f>
        <v/>
      </c>
    </row>
    <row r="864">
      <c r="A864" s="9" t="n"/>
      <c r="F864">
        <f>IF(E864="",F863,F863+E864)</f>
        <v/>
      </c>
      <c r="G864" s="11">
        <f>IF(E864="","",MIN(E864,MAX(0,10000-F863))*0.45+MAX(0,E864-MAX(0,10000-F863))*0.25)</f>
        <v/>
      </c>
    </row>
    <row r="865">
      <c r="A865" s="9" t="n"/>
      <c r="F865">
        <f>IF(E865="",F864,F864+E865)</f>
        <v/>
      </c>
      <c r="G865" s="11">
        <f>IF(E865="","",MIN(E865,MAX(0,10000-F864))*0.45+MAX(0,E865-MAX(0,10000-F864))*0.25)</f>
        <v/>
      </c>
    </row>
    <row r="866">
      <c r="A866" s="9" t="n"/>
      <c r="F866">
        <f>IF(E866="",F865,F865+E866)</f>
        <v/>
      </c>
      <c r="G866" s="11">
        <f>IF(E866="","",MIN(E866,MAX(0,10000-F865))*0.45+MAX(0,E866-MAX(0,10000-F865))*0.25)</f>
        <v/>
      </c>
    </row>
    <row r="867">
      <c r="A867" s="9" t="n"/>
      <c r="F867">
        <f>IF(E867="",F866,F866+E867)</f>
        <v/>
      </c>
      <c r="G867" s="11">
        <f>IF(E867="","",MIN(E867,MAX(0,10000-F866))*0.45+MAX(0,E867-MAX(0,10000-F866))*0.25)</f>
        <v/>
      </c>
    </row>
    <row r="868">
      <c r="A868" s="9" t="n"/>
      <c r="F868">
        <f>IF(E868="",F867,F867+E868)</f>
        <v/>
      </c>
      <c r="G868" s="11">
        <f>IF(E868="","",MIN(E868,MAX(0,10000-F867))*0.45+MAX(0,E868-MAX(0,10000-F867))*0.25)</f>
        <v/>
      </c>
    </row>
    <row r="869">
      <c r="A869" s="9" t="n"/>
      <c r="F869">
        <f>IF(E869="",F868,F868+E869)</f>
        <v/>
      </c>
      <c r="G869" s="11">
        <f>IF(E869="","",MIN(E869,MAX(0,10000-F868))*0.45+MAX(0,E869-MAX(0,10000-F868))*0.25)</f>
        <v/>
      </c>
    </row>
    <row r="870">
      <c r="A870" s="9" t="n"/>
      <c r="F870">
        <f>IF(E870="",F869,F869+E870)</f>
        <v/>
      </c>
      <c r="G870" s="11">
        <f>IF(E870="","",MIN(E870,MAX(0,10000-F869))*0.45+MAX(0,E870-MAX(0,10000-F869))*0.25)</f>
        <v/>
      </c>
    </row>
    <row r="871">
      <c r="A871" s="9" t="n"/>
      <c r="F871">
        <f>IF(E871="",F870,F870+E871)</f>
        <v/>
      </c>
      <c r="G871" s="11">
        <f>IF(E871="","",MIN(E871,MAX(0,10000-F870))*0.45+MAX(0,E871-MAX(0,10000-F870))*0.25)</f>
        <v/>
      </c>
    </row>
    <row r="872">
      <c r="A872" s="9" t="n"/>
      <c r="F872">
        <f>IF(E872="",F871,F871+E872)</f>
        <v/>
      </c>
      <c r="G872" s="11">
        <f>IF(E872="","",MIN(E872,MAX(0,10000-F871))*0.45+MAX(0,E872-MAX(0,10000-F871))*0.25)</f>
        <v/>
      </c>
    </row>
    <row r="873">
      <c r="A873" s="9" t="n"/>
      <c r="F873">
        <f>IF(E873="",F872,F872+E873)</f>
        <v/>
      </c>
      <c r="G873" s="11">
        <f>IF(E873="","",MIN(E873,MAX(0,10000-F872))*0.45+MAX(0,E873-MAX(0,10000-F872))*0.25)</f>
        <v/>
      </c>
    </row>
    <row r="874">
      <c r="A874" s="9" t="n"/>
      <c r="F874">
        <f>IF(E874="",F873,F873+E874)</f>
        <v/>
      </c>
      <c r="G874" s="11">
        <f>IF(E874="","",MIN(E874,MAX(0,10000-F873))*0.45+MAX(0,E874-MAX(0,10000-F873))*0.25)</f>
        <v/>
      </c>
    </row>
    <row r="875">
      <c r="A875" s="9" t="n"/>
      <c r="F875">
        <f>IF(E875="",F874,F874+E875)</f>
        <v/>
      </c>
      <c r="G875" s="11">
        <f>IF(E875="","",MIN(E875,MAX(0,10000-F874))*0.45+MAX(0,E875-MAX(0,10000-F874))*0.25)</f>
        <v/>
      </c>
    </row>
    <row r="876">
      <c r="A876" s="9" t="n"/>
      <c r="F876">
        <f>IF(E876="",F875,F875+E876)</f>
        <v/>
      </c>
      <c r="G876" s="11">
        <f>IF(E876="","",MIN(E876,MAX(0,10000-F875))*0.45+MAX(0,E876-MAX(0,10000-F875))*0.25)</f>
        <v/>
      </c>
    </row>
    <row r="877">
      <c r="A877" s="9" t="n"/>
      <c r="F877">
        <f>IF(E877="",F876,F876+E877)</f>
        <v/>
      </c>
      <c r="G877" s="11">
        <f>IF(E877="","",MIN(E877,MAX(0,10000-F876))*0.45+MAX(0,E877-MAX(0,10000-F876))*0.25)</f>
        <v/>
      </c>
    </row>
    <row r="878">
      <c r="A878" s="9" t="n"/>
      <c r="F878">
        <f>IF(E878="",F877,F877+E878)</f>
        <v/>
      </c>
      <c r="G878" s="11">
        <f>IF(E878="","",MIN(E878,MAX(0,10000-F877))*0.45+MAX(0,E878-MAX(0,10000-F877))*0.25)</f>
        <v/>
      </c>
    </row>
    <row r="879">
      <c r="A879" s="9" t="n"/>
      <c r="F879">
        <f>IF(E879="",F878,F878+E879)</f>
        <v/>
      </c>
      <c r="G879" s="11">
        <f>IF(E879="","",MIN(E879,MAX(0,10000-F878))*0.45+MAX(0,E879-MAX(0,10000-F878))*0.25)</f>
        <v/>
      </c>
    </row>
    <row r="880">
      <c r="A880" s="9" t="n"/>
      <c r="F880">
        <f>IF(E880="",F879,F879+E880)</f>
        <v/>
      </c>
      <c r="G880" s="11">
        <f>IF(E880="","",MIN(E880,MAX(0,10000-F879))*0.45+MAX(0,E880-MAX(0,10000-F879))*0.25)</f>
        <v/>
      </c>
    </row>
    <row r="881">
      <c r="A881" s="9" t="n"/>
      <c r="F881">
        <f>IF(E881="",F880,F880+E881)</f>
        <v/>
      </c>
      <c r="G881" s="11">
        <f>IF(E881="","",MIN(E881,MAX(0,10000-F880))*0.45+MAX(0,E881-MAX(0,10000-F880))*0.25)</f>
        <v/>
      </c>
    </row>
    <row r="882">
      <c r="A882" s="9" t="n"/>
      <c r="F882">
        <f>IF(E882="",F881,F881+E882)</f>
        <v/>
      </c>
      <c r="G882" s="11">
        <f>IF(E882="","",MIN(E882,MAX(0,10000-F881))*0.45+MAX(0,E882-MAX(0,10000-F881))*0.25)</f>
        <v/>
      </c>
    </row>
    <row r="883">
      <c r="A883" s="9" t="n"/>
      <c r="F883">
        <f>IF(E883="",F882,F882+E883)</f>
        <v/>
      </c>
      <c r="G883" s="11">
        <f>IF(E883="","",MIN(E883,MAX(0,10000-F882))*0.45+MAX(0,E883-MAX(0,10000-F882))*0.25)</f>
        <v/>
      </c>
    </row>
    <row r="884">
      <c r="A884" s="9" t="n"/>
      <c r="F884">
        <f>IF(E884="",F883,F883+E884)</f>
        <v/>
      </c>
      <c r="G884" s="11">
        <f>IF(E884="","",MIN(E884,MAX(0,10000-F883))*0.45+MAX(0,E884-MAX(0,10000-F883))*0.25)</f>
        <v/>
      </c>
    </row>
    <row r="885">
      <c r="A885" s="9" t="n"/>
      <c r="F885">
        <f>IF(E885="",F884,F884+E885)</f>
        <v/>
      </c>
      <c r="G885" s="11">
        <f>IF(E885="","",MIN(E885,MAX(0,10000-F884))*0.45+MAX(0,E885-MAX(0,10000-F884))*0.25)</f>
        <v/>
      </c>
    </row>
    <row r="886">
      <c r="A886" s="9" t="n"/>
      <c r="F886">
        <f>IF(E886="",F885,F885+E886)</f>
        <v/>
      </c>
      <c r="G886" s="11">
        <f>IF(E886="","",MIN(E886,MAX(0,10000-F885))*0.45+MAX(0,E886-MAX(0,10000-F885))*0.25)</f>
        <v/>
      </c>
    </row>
    <row r="887">
      <c r="A887" s="9" t="n"/>
      <c r="F887">
        <f>IF(E887="",F886,F886+E887)</f>
        <v/>
      </c>
      <c r="G887" s="11">
        <f>IF(E887="","",MIN(E887,MAX(0,10000-F886))*0.45+MAX(0,E887-MAX(0,10000-F886))*0.25)</f>
        <v/>
      </c>
    </row>
    <row r="888">
      <c r="A888" s="9" t="n"/>
      <c r="F888">
        <f>IF(E888="",F887,F887+E888)</f>
        <v/>
      </c>
      <c r="G888" s="11">
        <f>IF(E888="","",MIN(E888,MAX(0,10000-F887))*0.45+MAX(0,E888-MAX(0,10000-F887))*0.25)</f>
        <v/>
      </c>
    </row>
    <row r="889">
      <c r="A889" s="9" t="n"/>
      <c r="F889">
        <f>IF(E889="",F888,F888+E889)</f>
        <v/>
      </c>
      <c r="G889" s="11">
        <f>IF(E889="","",MIN(E889,MAX(0,10000-F888))*0.45+MAX(0,E889-MAX(0,10000-F888))*0.25)</f>
        <v/>
      </c>
    </row>
    <row r="890">
      <c r="A890" s="9" t="n"/>
      <c r="F890">
        <f>IF(E890="",F889,F889+E890)</f>
        <v/>
      </c>
      <c r="G890" s="11">
        <f>IF(E890="","",MIN(E890,MAX(0,10000-F889))*0.45+MAX(0,E890-MAX(0,10000-F889))*0.25)</f>
        <v/>
      </c>
    </row>
    <row r="891">
      <c r="A891" s="9" t="n"/>
      <c r="F891">
        <f>IF(E891="",F890,F890+E891)</f>
        <v/>
      </c>
      <c r="G891" s="11">
        <f>IF(E891="","",MIN(E891,MAX(0,10000-F890))*0.45+MAX(0,E891-MAX(0,10000-F890))*0.25)</f>
        <v/>
      </c>
    </row>
    <row r="892">
      <c r="A892" s="9" t="n"/>
      <c r="F892">
        <f>IF(E892="",F891,F891+E892)</f>
        <v/>
      </c>
      <c r="G892" s="11">
        <f>IF(E892="","",MIN(E892,MAX(0,10000-F891))*0.45+MAX(0,E892-MAX(0,10000-F891))*0.25)</f>
        <v/>
      </c>
    </row>
    <row r="893">
      <c r="A893" s="9" t="n"/>
      <c r="F893">
        <f>IF(E893="",F892,F892+E893)</f>
        <v/>
      </c>
      <c r="G893" s="11">
        <f>IF(E893="","",MIN(E893,MAX(0,10000-F892))*0.45+MAX(0,E893-MAX(0,10000-F892))*0.25)</f>
        <v/>
      </c>
    </row>
    <row r="894">
      <c r="A894" s="9" t="n"/>
      <c r="F894">
        <f>IF(E894="",F893,F893+E894)</f>
        <v/>
      </c>
      <c r="G894" s="11">
        <f>IF(E894="","",MIN(E894,MAX(0,10000-F893))*0.45+MAX(0,E894-MAX(0,10000-F893))*0.25)</f>
        <v/>
      </c>
    </row>
    <row r="895">
      <c r="A895" s="9" t="n"/>
      <c r="F895">
        <f>IF(E895="",F894,F894+E895)</f>
        <v/>
      </c>
      <c r="G895" s="11">
        <f>IF(E895="","",MIN(E895,MAX(0,10000-F894))*0.45+MAX(0,E895-MAX(0,10000-F894))*0.25)</f>
        <v/>
      </c>
    </row>
    <row r="896">
      <c r="A896" s="9" t="n"/>
      <c r="F896">
        <f>IF(E896="",F895,F895+E896)</f>
        <v/>
      </c>
      <c r="G896" s="11">
        <f>IF(E896="","",MIN(E896,MAX(0,10000-F895))*0.45+MAX(0,E896-MAX(0,10000-F895))*0.25)</f>
        <v/>
      </c>
    </row>
    <row r="897">
      <c r="A897" s="9" t="n"/>
      <c r="F897">
        <f>IF(E897="",F896,F896+E897)</f>
        <v/>
      </c>
      <c r="G897" s="11">
        <f>IF(E897="","",MIN(E897,MAX(0,10000-F896))*0.45+MAX(0,E897-MAX(0,10000-F896))*0.25)</f>
        <v/>
      </c>
    </row>
    <row r="898">
      <c r="A898" s="9" t="n"/>
      <c r="F898">
        <f>IF(E898="",F897,F897+E898)</f>
        <v/>
      </c>
      <c r="G898" s="11">
        <f>IF(E898="","",MIN(E898,MAX(0,10000-F897))*0.45+MAX(0,E898-MAX(0,10000-F897))*0.25)</f>
        <v/>
      </c>
    </row>
    <row r="899">
      <c r="A899" s="9" t="n"/>
      <c r="F899">
        <f>IF(E899="",F898,F898+E899)</f>
        <v/>
      </c>
      <c r="G899" s="11">
        <f>IF(E899="","",MIN(E899,MAX(0,10000-F898))*0.45+MAX(0,E899-MAX(0,10000-F898))*0.25)</f>
        <v/>
      </c>
    </row>
    <row r="900">
      <c r="A900" s="9" t="n"/>
      <c r="F900">
        <f>IF(E900="",F899,F899+E900)</f>
        <v/>
      </c>
      <c r="G900" s="11">
        <f>IF(E900="","",MIN(E900,MAX(0,10000-F899))*0.45+MAX(0,E900-MAX(0,10000-F899))*0.25)</f>
        <v/>
      </c>
    </row>
    <row r="901">
      <c r="A901" s="9" t="n"/>
      <c r="F901">
        <f>IF(E901="",F900,F900+E901)</f>
        <v/>
      </c>
      <c r="G901" s="11">
        <f>IF(E901="","",MIN(E901,MAX(0,10000-F900))*0.45+MAX(0,E901-MAX(0,10000-F900))*0.25)</f>
        <v/>
      </c>
    </row>
    <row r="902">
      <c r="A902" s="9" t="n"/>
      <c r="F902">
        <f>IF(E902="",F901,F901+E902)</f>
        <v/>
      </c>
      <c r="G902" s="11">
        <f>IF(E902="","",MIN(E902,MAX(0,10000-F901))*0.45+MAX(0,E902-MAX(0,10000-F901))*0.25)</f>
        <v/>
      </c>
    </row>
    <row r="903">
      <c r="A903" s="9" t="n"/>
      <c r="F903">
        <f>IF(E903="",F902,F902+E903)</f>
        <v/>
      </c>
      <c r="G903" s="11">
        <f>IF(E903="","",MIN(E903,MAX(0,10000-F902))*0.45+MAX(0,E903-MAX(0,10000-F902))*0.25)</f>
        <v/>
      </c>
    </row>
    <row r="904">
      <c r="A904" s="9" t="n"/>
      <c r="F904">
        <f>IF(E904="",F903,F903+E904)</f>
        <v/>
      </c>
      <c r="G904" s="11">
        <f>IF(E904="","",MIN(E904,MAX(0,10000-F903))*0.45+MAX(0,E904-MAX(0,10000-F903))*0.25)</f>
        <v/>
      </c>
    </row>
    <row r="905">
      <c r="A905" s="9" t="n"/>
      <c r="F905">
        <f>IF(E905="",F904,F904+E905)</f>
        <v/>
      </c>
      <c r="G905" s="11">
        <f>IF(E905="","",MIN(E905,MAX(0,10000-F904))*0.45+MAX(0,E905-MAX(0,10000-F904))*0.25)</f>
        <v/>
      </c>
    </row>
    <row r="906">
      <c r="A906" s="9" t="n"/>
      <c r="F906">
        <f>IF(E906="",F905,F905+E906)</f>
        <v/>
      </c>
      <c r="G906" s="11">
        <f>IF(E906="","",MIN(E906,MAX(0,10000-F905))*0.45+MAX(0,E906-MAX(0,10000-F905))*0.25)</f>
        <v/>
      </c>
    </row>
    <row r="907">
      <c r="A907" s="9" t="n"/>
      <c r="F907">
        <f>IF(E907="",F906,F906+E907)</f>
        <v/>
      </c>
      <c r="G907" s="11">
        <f>IF(E907="","",MIN(E907,MAX(0,10000-F906))*0.45+MAX(0,E907-MAX(0,10000-F906))*0.25)</f>
        <v/>
      </c>
    </row>
    <row r="908">
      <c r="A908" s="9" t="n"/>
      <c r="F908">
        <f>IF(E908="",F907,F907+E908)</f>
        <v/>
      </c>
      <c r="G908" s="11">
        <f>IF(E908="","",MIN(E908,MAX(0,10000-F907))*0.45+MAX(0,E908-MAX(0,10000-F907))*0.25)</f>
        <v/>
      </c>
    </row>
    <row r="909">
      <c r="A909" s="9" t="n"/>
      <c r="F909">
        <f>IF(E909="",F908,F908+E909)</f>
        <v/>
      </c>
      <c r="G909" s="11">
        <f>IF(E909="","",MIN(E909,MAX(0,10000-F908))*0.45+MAX(0,E909-MAX(0,10000-F908))*0.25)</f>
        <v/>
      </c>
    </row>
    <row r="910">
      <c r="A910" s="9" t="n"/>
      <c r="F910">
        <f>IF(E910="",F909,F909+E910)</f>
        <v/>
      </c>
      <c r="G910" s="11">
        <f>IF(E910="","",MIN(E910,MAX(0,10000-F909))*0.45+MAX(0,E910-MAX(0,10000-F909))*0.25)</f>
        <v/>
      </c>
    </row>
    <row r="911">
      <c r="A911" s="9" t="n"/>
      <c r="F911">
        <f>IF(E911="",F910,F910+E911)</f>
        <v/>
      </c>
      <c r="G911" s="11">
        <f>IF(E911="","",MIN(E911,MAX(0,10000-F910))*0.45+MAX(0,E911-MAX(0,10000-F910))*0.25)</f>
        <v/>
      </c>
    </row>
    <row r="912">
      <c r="A912" s="9" t="n"/>
      <c r="F912">
        <f>IF(E912="",F911,F911+E912)</f>
        <v/>
      </c>
      <c r="G912" s="11">
        <f>IF(E912="","",MIN(E912,MAX(0,10000-F911))*0.45+MAX(0,E912-MAX(0,10000-F911))*0.25)</f>
        <v/>
      </c>
    </row>
    <row r="913">
      <c r="A913" s="9" t="n"/>
      <c r="F913">
        <f>IF(E913="",F912,F912+E913)</f>
        <v/>
      </c>
      <c r="G913" s="11">
        <f>IF(E913="","",MIN(E913,MAX(0,10000-F912))*0.45+MAX(0,E913-MAX(0,10000-F912))*0.25)</f>
        <v/>
      </c>
    </row>
    <row r="914">
      <c r="A914" s="9" t="n"/>
      <c r="F914">
        <f>IF(E914="",F913,F913+E914)</f>
        <v/>
      </c>
      <c r="G914" s="11">
        <f>IF(E914="","",MIN(E914,MAX(0,10000-F913))*0.45+MAX(0,E914-MAX(0,10000-F913))*0.25)</f>
        <v/>
      </c>
    </row>
    <row r="915">
      <c r="A915" s="9" t="n"/>
      <c r="F915">
        <f>IF(E915="",F914,F914+E915)</f>
        <v/>
      </c>
      <c r="G915" s="11">
        <f>IF(E915="","",MIN(E915,MAX(0,10000-F914))*0.45+MAX(0,E915-MAX(0,10000-F914))*0.25)</f>
        <v/>
      </c>
    </row>
    <row r="916">
      <c r="A916" s="9" t="n"/>
      <c r="F916">
        <f>IF(E916="",F915,F915+E916)</f>
        <v/>
      </c>
      <c r="G916" s="11">
        <f>IF(E916="","",MIN(E916,MAX(0,10000-F915))*0.45+MAX(0,E916-MAX(0,10000-F915))*0.25)</f>
        <v/>
      </c>
    </row>
    <row r="917">
      <c r="A917" s="9" t="n"/>
      <c r="F917">
        <f>IF(E917="",F916,F916+E917)</f>
        <v/>
      </c>
      <c r="G917" s="11">
        <f>IF(E917="","",MIN(E917,MAX(0,10000-F916))*0.45+MAX(0,E917-MAX(0,10000-F916))*0.25)</f>
        <v/>
      </c>
    </row>
    <row r="918">
      <c r="A918" s="9" t="n"/>
      <c r="F918">
        <f>IF(E918="",F917,F917+E918)</f>
        <v/>
      </c>
      <c r="G918" s="11">
        <f>IF(E918="","",MIN(E918,MAX(0,10000-F917))*0.45+MAX(0,E918-MAX(0,10000-F917))*0.25)</f>
        <v/>
      </c>
    </row>
    <row r="919">
      <c r="A919" s="9" t="n"/>
      <c r="F919">
        <f>IF(E919="",F918,F918+E919)</f>
        <v/>
      </c>
      <c r="G919" s="11">
        <f>IF(E919="","",MIN(E919,MAX(0,10000-F918))*0.45+MAX(0,E919-MAX(0,10000-F918))*0.25)</f>
        <v/>
      </c>
    </row>
    <row r="920">
      <c r="A920" s="9" t="n"/>
      <c r="F920">
        <f>IF(E920="",F919,F919+E920)</f>
        <v/>
      </c>
      <c r="G920" s="11">
        <f>IF(E920="","",MIN(E920,MAX(0,10000-F919))*0.45+MAX(0,E920-MAX(0,10000-F919))*0.25)</f>
        <v/>
      </c>
    </row>
    <row r="921">
      <c r="A921" s="9" t="n"/>
      <c r="F921">
        <f>IF(E921="",F920,F920+E921)</f>
        <v/>
      </c>
      <c r="G921" s="11">
        <f>IF(E921="","",MIN(E921,MAX(0,10000-F920))*0.45+MAX(0,E921-MAX(0,10000-F920))*0.25)</f>
        <v/>
      </c>
    </row>
    <row r="922">
      <c r="A922" s="9" t="n"/>
      <c r="F922">
        <f>IF(E922="",F921,F921+E922)</f>
        <v/>
      </c>
      <c r="G922" s="11">
        <f>IF(E922="","",MIN(E922,MAX(0,10000-F921))*0.45+MAX(0,E922-MAX(0,10000-F921))*0.25)</f>
        <v/>
      </c>
    </row>
    <row r="923">
      <c r="A923" s="9" t="n"/>
      <c r="F923">
        <f>IF(E923="",F922,F922+E923)</f>
        <v/>
      </c>
      <c r="G923" s="11">
        <f>IF(E923="","",MIN(E923,MAX(0,10000-F922))*0.45+MAX(0,E923-MAX(0,10000-F922))*0.25)</f>
        <v/>
      </c>
    </row>
    <row r="924">
      <c r="A924" s="9" t="n"/>
      <c r="F924">
        <f>IF(E924="",F923,F923+E924)</f>
        <v/>
      </c>
      <c r="G924" s="11">
        <f>IF(E924="","",MIN(E924,MAX(0,10000-F923))*0.45+MAX(0,E924-MAX(0,10000-F923))*0.25)</f>
        <v/>
      </c>
    </row>
    <row r="925">
      <c r="A925" s="9" t="n"/>
      <c r="F925">
        <f>IF(E925="",F924,F924+E925)</f>
        <v/>
      </c>
      <c r="G925" s="11">
        <f>IF(E925="","",MIN(E925,MAX(0,10000-F924))*0.45+MAX(0,E925-MAX(0,10000-F924))*0.25)</f>
        <v/>
      </c>
    </row>
    <row r="926">
      <c r="A926" s="9" t="n"/>
      <c r="F926">
        <f>IF(E926="",F925,F925+E926)</f>
        <v/>
      </c>
      <c r="G926" s="11">
        <f>IF(E926="","",MIN(E926,MAX(0,10000-F925))*0.45+MAX(0,E926-MAX(0,10000-F925))*0.25)</f>
        <v/>
      </c>
    </row>
    <row r="927">
      <c r="A927" s="9" t="n"/>
      <c r="F927">
        <f>IF(E927="",F926,F926+E927)</f>
        <v/>
      </c>
      <c r="G927" s="11">
        <f>IF(E927="","",MIN(E927,MAX(0,10000-F926))*0.45+MAX(0,E927-MAX(0,10000-F926))*0.25)</f>
        <v/>
      </c>
    </row>
    <row r="928">
      <c r="A928" s="9" t="n"/>
      <c r="F928">
        <f>IF(E928="",F927,F927+E928)</f>
        <v/>
      </c>
      <c r="G928" s="11">
        <f>IF(E928="","",MIN(E928,MAX(0,10000-F927))*0.45+MAX(0,E928-MAX(0,10000-F927))*0.25)</f>
        <v/>
      </c>
    </row>
    <row r="929">
      <c r="A929" s="9" t="n"/>
      <c r="F929">
        <f>IF(E929="",F928,F928+E929)</f>
        <v/>
      </c>
      <c r="G929" s="11">
        <f>IF(E929="","",MIN(E929,MAX(0,10000-F928))*0.45+MAX(0,E929-MAX(0,10000-F928))*0.25)</f>
        <v/>
      </c>
    </row>
    <row r="930">
      <c r="A930" s="9" t="n"/>
      <c r="F930">
        <f>IF(E930="",F929,F929+E930)</f>
        <v/>
      </c>
      <c r="G930" s="11">
        <f>IF(E930="","",MIN(E930,MAX(0,10000-F929))*0.45+MAX(0,E930-MAX(0,10000-F929))*0.25)</f>
        <v/>
      </c>
    </row>
    <row r="931">
      <c r="A931" s="9" t="n"/>
      <c r="F931">
        <f>IF(E931="",F930,F930+E931)</f>
        <v/>
      </c>
      <c r="G931" s="11">
        <f>IF(E931="","",MIN(E931,MAX(0,10000-F930))*0.45+MAX(0,E931-MAX(0,10000-F930))*0.25)</f>
        <v/>
      </c>
    </row>
    <row r="932">
      <c r="A932" s="9" t="n"/>
      <c r="F932">
        <f>IF(E932="",F931,F931+E932)</f>
        <v/>
      </c>
      <c r="G932" s="11">
        <f>IF(E932="","",MIN(E932,MAX(0,10000-F931))*0.45+MAX(0,E932-MAX(0,10000-F931))*0.25)</f>
        <v/>
      </c>
    </row>
    <row r="933">
      <c r="A933" s="9" t="n"/>
      <c r="F933">
        <f>IF(E933="",F932,F932+E933)</f>
        <v/>
      </c>
      <c r="G933" s="11">
        <f>IF(E933="","",MIN(E933,MAX(0,10000-F932))*0.45+MAX(0,E933-MAX(0,10000-F932))*0.25)</f>
        <v/>
      </c>
    </row>
    <row r="934">
      <c r="A934" s="9" t="n"/>
      <c r="F934">
        <f>IF(E934="",F933,F933+E934)</f>
        <v/>
      </c>
      <c r="G934" s="11">
        <f>IF(E934="","",MIN(E934,MAX(0,10000-F933))*0.45+MAX(0,E934-MAX(0,10000-F933))*0.25)</f>
        <v/>
      </c>
    </row>
    <row r="935">
      <c r="A935" s="9" t="n"/>
      <c r="F935">
        <f>IF(E935="",F934,F934+E935)</f>
        <v/>
      </c>
      <c r="G935" s="11">
        <f>IF(E935="","",MIN(E935,MAX(0,10000-F934))*0.45+MAX(0,E935-MAX(0,10000-F934))*0.25)</f>
        <v/>
      </c>
    </row>
    <row r="936">
      <c r="A936" s="9" t="n"/>
      <c r="F936">
        <f>IF(E936="",F935,F935+E936)</f>
        <v/>
      </c>
      <c r="G936" s="11">
        <f>IF(E936="","",MIN(E936,MAX(0,10000-F935))*0.45+MAX(0,E936-MAX(0,10000-F935))*0.25)</f>
        <v/>
      </c>
    </row>
    <row r="937">
      <c r="A937" s="9" t="n"/>
      <c r="F937">
        <f>IF(E937="",F936,F936+E937)</f>
        <v/>
      </c>
      <c r="G937" s="11">
        <f>IF(E937="","",MIN(E937,MAX(0,10000-F936))*0.45+MAX(0,E937-MAX(0,10000-F936))*0.25)</f>
        <v/>
      </c>
    </row>
    <row r="938">
      <c r="A938" s="9" t="n"/>
      <c r="F938">
        <f>IF(E938="",F937,F937+E938)</f>
        <v/>
      </c>
      <c r="G938" s="11">
        <f>IF(E938="","",MIN(E938,MAX(0,10000-F937))*0.45+MAX(0,E938-MAX(0,10000-F937))*0.25)</f>
        <v/>
      </c>
    </row>
    <row r="939">
      <c r="A939" s="9" t="n"/>
      <c r="F939">
        <f>IF(E939="",F938,F938+E939)</f>
        <v/>
      </c>
      <c r="G939" s="11">
        <f>IF(E939="","",MIN(E939,MAX(0,10000-F938))*0.45+MAX(0,E939-MAX(0,10000-F938))*0.25)</f>
        <v/>
      </c>
    </row>
    <row r="940">
      <c r="A940" s="9" t="n"/>
      <c r="F940">
        <f>IF(E940="",F939,F939+E940)</f>
        <v/>
      </c>
      <c r="G940" s="11">
        <f>IF(E940="","",MIN(E940,MAX(0,10000-F939))*0.45+MAX(0,E940-MAX(0,10000-F939))*0.25)</f>
        <v/>
      </c>
    </row>
    <row r="941">
      <c r="A941" s="9" t="n"/>
      <c r="F941">
        <f>IF(E941="",F940,F940+E941)</f>
        <v/>
      </c>
      <c r="G941" s="11">
        <f>IF(E941="","",MIN(E941,MAX(0,10000-F940))*0.45+MAX(0,E941-MAX(0,10000-F940))*0.25)</f>
        <v/>
      </c>
    </row>
    <row r="942">
      <c r="A942" s="9" t="n"/>
      <c r="F942">
        <f>IF(E942="",F941,F941+E942)</f>
        <v/>
      </c>
      <c r="G942" s="11">
        <f>IF(E942="","",MIN(E942,MAX(0,10000-F941))*0.45+MAX(0,E942-MAX(0,10000-F941))*0.25)</f>
        <v/>
      </c>
    </row>
    <row r="943">
      <c r="A943" s="9" t="n"/>
      <c r="F943">
        <f>IF(E943="",F942,F942+E943)</f>
        <v/>
      </c>
      <c r="G943" s="11">
        <f>IF(E943="","",MIN(E943,MAX(0,10000-F942))*0.45+MAX(0,E943-MAX(0,10000-F942))*0.25)</f>
        <v/>
      </c>
    </row>
    <row r="944">
      <c r="A944" s="9" t="n"/>
      <c r="F944">
        <f>IF(E944="",F943,F943+E944)</f>
        <v/>
      </c>
      <c r="G944" s="11">
        <f>IF(E944="","",MIN(E944,MAX(0,10000-F943))*0.45+MAX(0,E944-MAX(0,10000-F943))*0.25)</f>
        <v/>
      </c>
    </row>
    <row r="945">
      <c r="A945" s="9" t="n"/>
      <c r="F945">
        <f>IF(E945="",F944,F944+E945)</f>
        <v/>
      </c>
      <c r="G945" s="11">
        <f>IF(E945="","",MIN(E945,MAX(0,10000-F944))*0.45+MAX(0,E945-MAX(0,10000-F944))*0.25)</f>
        <v/>
      </c>
    </row>
    <row r="946">
      <c r="A946" s="9" t="n"/>
      <c r="F946">
        <f>IF(E946="",F945,F945+E946)</f>
        <v/>
      </c>
      <c r="G946" s="11">
        <f>IF(E946="","",MIN(E946,MAX(0,10000-F945))*0.45+MAX(0,E946-MAX(0,10000-F945))*0.25)</f>
        <v/>
      </c>
    </row>
    <row r="947">
      <c r="A947" s="9" t="n"/>
      <c r="F947">
        <f>IF(E947="",F946,F946+E947)</f>
        <v/>
      </c>
      <c r="G947" s="11">
        <f>IF(E947="","",MIN(E947,MAX(0,10000-F946))*0.45+MAX(0,E947-MAX(0,10000-F946))*0.25)</f>
        <v/>
      </c>
    </row>
    <row r="948">
      <c r="A948" s="9" t="n"/>
      <c r="F948">
        <f>IF(E948="",F947,F947+E948)</f>
        <v/>
      </c>
      <c r="G948" s="11">
        <f>IF(E948="","",MIN(E948,MAX(0,10000-F947))*0.45+MAX(0,E948-MAX(0,10000-F947))*0.25)</f>
        <v/>
      </c>
    </row>
    <row r="949">
      <c r="A949" s="9" t="n"/>
      <c r="F949">
        <f>IF(E949="",F948,F948+E949)</f>
        <v/>
      </c>
      <c r="G949" s="11">
        <f>IF(E949="","",MIN(E949,MAX(0,10000-F948))*0.45+MAX(0,E949-MAX(0,10000-F948))*0.25)</f>
        <v/>
      </c>
    </row>
    <row r="950">
      <c r="A950" s="9" t="n"/>
      <c r="F950">
        <f>IF(E950="",F949,F949+E950)</f>
        <v/>
      </c>
      <c r="G950" s="11">
        <f>IF(E950="","",MIN(E950,MAX(0,10000-F949))*0.45+MAX(0,E950-MAX(0,10000-F949))*0.25)</f>
        <v/>
      </c>
    </row>
    <row r="951">
      <c r="A951" s="9" t="n"/>
      <c r="F951">
        <f>IF(E951="",F950,F950+E951)</f>
        <v/>
      </c>
      <c r="G951" s="11">
        <f>IF(E951="","",MIN(E951,MAX(0,10000-F950))*0.45+MAX(0,E951-MAX(0,10000-F950))*0.25)</f>
        <v/>
      </c>
    </row>
    <row r="952">
      <c r="A952" s="9" t="n"/>
      <c r="F952">
        <f>IF(E952="",F951,F951+E952)</f>
        <v/>
      </c>
      <c r="G952" s="11">
        <f>IF(E952="","",MIN(E952,MAX(0,10000-F951))*0.45+MAX(0,E952-MAX(0,10000-F951))*0.25)</f>
        <v/>
      </c>
    </row>
    <row r="953">
      <c r="A953" s="9" t="n"/>
      <c r="F953">
        <f>IF(E953="",F952,F952+E953)</f>
        <v/>
      </c>
      <c r="G953" s="11">
        <f>IF(E953="","",MIN(E953,MAX(0,10000-F952))*0.45+MAX(0,E953-MAX(0,10000-F952))*0.25)</f>
        <v/>
      </c>
    </row>
    <row r="954">
      <c r="A954" s="9" t="n"/>
      <c r="F954">
        <f>IF(E954="",F953,F953+E954)</f>
        <v/>
      </c>
      <c r="G954" s="11">
        <f>IF(E954="","",MIN(E954,MAX(0,10000-F953))*0.45+MAX(0,E954-MAX(0,10000-F953))*0.25)</f>
        <v/>
      </c>
    </row>
    <row r="955">
      <c r="A955" s="9" t="n"/>
      <c r="F955">
        <f>IF(E955="",F954,F954+E955)</f>
        <v/>
      </c>
      <c r="G955" s="11">
        <f>IF(E955="","",MIN(E955,MAX(0,10000-F954))*0.45+MAX(0,E955-MAX(0,10000-F954))*0.25)</f>
        <v/>
      </c>
    </row>
    <row r="956">
      <c r="A956" s="9" t="n"/>
      <c r="F956">
        <f>IF(E956="",F955,F955+E956)</f>
        <v/>
      </c>
      <c r="G956" s="11">
        <f>IF(E956="","",MIN(E956,MAX(0,10000-F955))*0.45+MAX(0,E956-MAX(0,10000-F955))*0.25)</f>
        <v/>
      </c>
    </row>
    <row r="957">
      <c r="A957" s="9" t="n"/>
      <c r="F957">
        <f>IF(E957="",F956,F956+E957)</f>
        <v/>
      </c>
      <c r="G957" s="11">
        <f>IF(E957="","",MIN(E957,MAX(0,10000-F956))*0.45+MAX(0,E957-MAX(0,10000-F956))*0.25)</f>
        <v/>
      </c>
    </row>
    <row r="958">
      <c r="A958" s="9" t="n"/>
      <c r="F958">
        <f>IF(E958="",F957,F957+E958)</f>
        <v/>
      </c>
      <c r="G958" s="11">
        <f>IF(E958="","",MIN(E958,MAX(0,10000-F957))*0.45+MAX(0,E958-MAX(0,10000-F957))*0.25)</f>
        <v/>
      </c>
    </row>
    <row r="959">
      <c r="A959" s="9" t="n"/>
      <c r="F959">
        <f>IF(E959="",F958,F958+E959)</f>
        <v/>
      </c>
      <c r="G959" s="11">
        <f>IF(E959="","",MIN(E959,MAX(0,10000-F958))*0.45+MAX(0,E959-MAX(0,10000-F958))*0.25)</f>
        <v/>
      </c>
    </row>
    <row r="960">
      <c r="A960" s="9" t="n"/>
      <c r="F960">
        <f>IF(E960="",F959,F959+E960)</f>
        <v/>
      </c>
      <c r="G960" s="11">
        <f>IF(E960="","",MIN(E960,MAX(0,10000-F959))*0.45+MAX(0,E960-MAX(0,10000-F959))*0.25)</f>
        <v/>
      </c>
    </row>
    <row r="961">
      <c r="A961" s="9" t="n"/>
      <c r="F961">
        <f>IF(E961="",F960,F960+E961)</f>
        <v/>
      </c>
      <c r="G961" s="11">
        <f>IF(E961="","",MIN(E961,MAX(0,10000-F960))*0.45+MAX(0,E961-MAX(0,10000-F960))*0.25)</f>
        <v/>
      </c>
    </row>
    <row r="962">
      <c r="A962" s="9" t="n"/>
      <c r="F962">
        <f>IF(E962="",F961,F961+E962)</f>
        <v/>
      </c>
      <c r="G962" s="11">
        <f>IF(E962="","",MIN(E962,MAX(0,10000-F961))*0.45+MAX(0,E962-MAX(0,10000-F961))*0.25)</f>
        <v/>
      </c>
    </row>
    <row r="963">
      <c r="A963" s="9" t="n"/>
      <c r="F963">
        <f>IF(E963="",F962,F962+E963)</f>
        <v/>
      </c>
      <c r="G963" s="11">
        <f>IF(E963="","",MIN(E963,MAX(0,10000-F962))*0.45+MAX(0,E963-MAX(0,10000-F962))*0.25)</f>
        <v/>
      </c>
    </row>
    <row r="964">
      <c r="A964" s="9" t="n"/>
      <c r="F964">
        <f>IF(E964="",F963,F963+E964)</f>
        <v/>
      </c>
      <c r="G964" s="11">
        <f>IF(E964="","",MIN(E964,MAX(0,10000-F963))*0.45+MAX(0,E964-MAX(0,10000-F963))*0.25)</f>
        <v/>
      </c>
    </row>
    <row r="965">
      <c r="A965" s="9" t="n"/>
      <c r="F965">
        <f>IF(E965="",F964,F964+E965)</f>
        <v/>
      </c>
      <c r="G965" s="11">
        <f>IF(E965="","",MIN(E965,MAX(0,10000-F964))*0.45+MAX(0,E965-MAX(0,10000-F964))*0.25)</f>
        <v/>
      </c>
    </row>
    <row r="966">
      <c r="A966" s="9" t="n"/>
      <c r="F966">
        <f>IF(E966="",F965,F965+E966)</f>
        <v/>
      </c>
      <c r="G966" s="11">
        <f>IF(E966="","",MIN(E966,MAX(0,10000-F965))*0.45+MAX(0,E966-MAX(0,10000-F965))*0.25)</f>
        <v/>
      </c>
    </row>
    <row r="967">
      <c r="A967" s="9" t="n"/>
      <c r="F967">
        <f>IF(E967="",F966,F966+E967)</f>
        <v/>
      </c>
      <c r="G967" s="11">
        <f>IF(E967="","",MIN(E967,MAX(0,10000-F966))*0.45+MAX(0,E967-MAX(0,10000-F966))*0.25)</f>
        <v/>
      </c>
    </row>
    <row r="968">
      <c r="A968" s="9" t="n"/>
      <c r="F968">
        <f>IF(E968="",F967,F967+E968)</f>
        <v/>
      </c>
      <c r="G968" s="11">
        <f>IF(E968="","",MIN(E968,MAX(0,10000-F967))*0.45+MAX(0,E968-MAX(0,10000-F967))*0.25)</f>
        <v/>
      </c>
    </row>
    <row r="969">
      <c r="A969" s="9" t="n"/>
      <c r="F969">
        <f>IF(E969="",F968,F968+E969)</f>
        <v/>
      </c>
      <c r="G969" s="11">
        <f>IF(E969="","",MIN(E969,MAX(0,10000-F968))*0.45+MAX(0,E969-MAX(0,10000-F968))*0.25)</f>
        <v/>
      </c>
    </row>
    <row r="970">
      <c r="A970" s="9" t="n"/>
      <c r="F970">
        <f>IF(E970="",F969,F969+E970)</f>
        <v/>
      </c>
      <c r="G970" s="11">
        <f>IF(E970="","",MIN(E970,MAX(0,10000-F969))*0.45+MAX(0,E970-MAX(0,10000-F969))*0.25)</f>
        <v/>
      </c>
    </row>
    <row r="971">
      <c r="A971" s="9" t="n"/>
      <c r="F971">
        <f>IF(E971="",F970,F970+E971)</f>
        <v/>
      </c>
      <c r="G971" s="11">
        <f>IF(E971="","",MIN(E971,MAX(0,10000-F970))*0.45+MAX(0,E971-MAX(0,10000-F970))*0.25)</f>
        <v/>
      </c>
    </row>
    <row r="972">
      <c r="A972" s="9" t="n"/>
      <c r="F972">
        <f>IF(E972="",F971,F971+E972)</f>
        <v/>
      </c>
      <c r="G972" s="11">
        <f>IF(E972="","",MIN(E972,MAX(0,10000-F971))*0.45+MAX(0,E972-MAX(0,10000-F971))*0.25)</f>
        <v/>
      </c>
    </row>
    <row r="973">
      <c r="A973" s="9" t="n"/>
      <c r="F973">
        <f>IF(E973="",F972,F972+E973)</f>
        <v/>
      </c>
      <c r="G973" s="11">
        <f>IF(E973="","",MIN(E973,MAX(0,10000-F972))*0.45+MAX(0,E973-MAX(0,10000-F972))*0.25)</f>
        <v/>
      </c>
    </row>
    <row r="974">
      <c r="A974" s="9" t="n"/>
      <c r="F974">
        <f>IF(E974="",F973,F973+E974)</f>
        <v/>
      </c>
      <c r="G974" s="11">
        <f>IF(E974="","",MIN(E974,MAX(0,10000-F973))*0.45+MAX(0,E974-MAX(0,10000-F973))*0.25)</f>
        <v/>
      </c>
    </row>
    <row r="975">
      <c r="A975" s="9" t="n"/>
      <c r="F975">
        <f>IF(E975="",F974,F974+E975)</f>
        <v/>
      </c>
      <c r="G975" s="11">
        <f>IF(E975="","",MIN(E975,MAX(0,10000-F974))*0.45+MAX(0,E975-MAX(0,10000-F974))*0.25)</f>
        <v/>
      </c>
    </row>
    <row r="976">
      <c r="A976" s="9" t="n"/>
      <c r="F976">
        <f>IF(E976="",F975,F975+E976)</f>
        <v/>
      </c>
      <c r="G976" s="11">
        <f>IF(E976="","",MIN(E976,MAX(0,10000-F975))*0.45+MAX(0,E976-MAX(0,10000-F975))*0.25)</f>
        <v/>
      </c>
    </row>
    <row r="977">
      <c r="A977" s="9" t="n"/>
      <c r="F977">
        <f>IF(E977="",F976,F976+E977)</f>
        <v/>
      </c>
      <c r="G977" s="11">
        <f>IF(E977="","",MIN(E977,MAX(0,10000-F976))*0.45+MAX(0,E977-MAX(0,10000-F976))*0.25)</f>
        <v/>
      </c>
    </row>
    <row r="978">
      <c r="A978" s="9" t="n"/>
      <c r="F978">
        <f>IF(E978="",F977,F977+E978)</f>
        <v/>
      </c>
      <c r="G978" s="11">
        <f>IF(E978="","",MIN(E978,MAX(0,10000-F977))*0.45+MAX(0,E978-MAX(0,10000-F977))*0.25)</f>
        <v/>
      </c>
    </row>
    <row r="979">
      <c r="A979" s="9" t="n"/>
      <c r="F979">
        <f>IF(E979="",F978,F978+E979)</f>
        <v/>
      </c>
      <c r="G979" s="11">
        <f>IF(E979="","",MIN(E979,MAX(0,10000-F978))*0.45+MAX(0,E979-MAX(0,10000-F978))*0.25)</f>
        <v/>
      </c>
    </row>
    <row r="980">
      <c r="A980" s="9" t="n"/>
      <c r="F980">
        <f>IF(E980="",F979,F979+E980)</f>
        <v/>
      </c>
      <c r="G980" s="11">
        <f>IF(E980="","",MIN(E980,MAX(0,10000-F979))*0.45+MAX(0,E980-MAX(0,10000-F979))*0.25)</f>
        <v/>
      </c>
    </row>
    <row r="981">
      <c r="A981" s="9" t="n"/>
      <c r="F981">
        <f>IF(E981="",F980,F980+E981)</f>
        <v/>
      </c>
      <c r="G981" s="11">
        <f>IF(E981="","",MIN(E981,MAX(0,10000-F980))*0.45+MAX(0,E981-MAX(0,10000-F980))*0.25)</f>
        <v/>
      </c>
    </row>
    <row r="982">
      <c r="A982" s="9" t="n"/>
      <c r="F982">
        <f>IF(E982="",F981,F981+E982)</f>
        <v/>
      </c>
      <c r="G982" s="11">
        <f>IF(E982="","",MIN(E982,MAX(0,10000-F981))*0.45+MAX(0,E982-MAX(0,10000-F981))*0.25)</f>
        <v/>
      </c>
    </row>
    <row r="983">
      <c r="A983" s="9" t="n"/>
      <c r="F983">
        <f>IF(E983="",F982,F982+E983)</f>
        <v/>
      </c>
      <c r="G983" s="11">
        <f>IF(E983="","",MIN(E983,MAX(0,10000-F982))*0.45+MAX(0,E983-MAX(0,10000-F982))*0.25)</f>
        <v/>
      </c>
    </row>
    <row r="984">
      <c r="A984" s="9" t="n"/>
      <c r="F984">
        <f>IF(E984="",F983,F983+E984)</f>
        <v/>
      </c>
      <c r="G984" s="11">
        <f>IF(E984="","",MIN(E984,MAX(0,10000-F983))*0.45+MAX(0,E984-MAX(0,10000-F983))*0.25)</f>
        <v/>
      </c>
    </row>
    <row r="985">
      <c r="A985" s="9" t="n"/>
      <c r="F985">
        <f>IF(E985="",F984,F984+E985)</f>
        <v/>
      </c>
      <c r="G985" s="11">
        <f>IF(E985="","",MIN(E985,MAX(0,10000-F984))*0.45+MAX(0,E985-MAX(0,10000-F984))*0.25)</f>
        <v/>
      </c>
    </row>
    <row r="986">
      <c r="A986" s="9" t="n"/>
      <c r="F986">
        <f>IF(E986="",F985,F985+E986)</f>
        <v/>
      </c>
      <c r="G986" s="11">
        <f>IF(E986="","",MIN(E986,MAX(0,10000-F985))*0.45+MAX(0,E986-MAX(0,10000-F985))*0.25)</f>
        <v/>
      </c>
    </row>
    <row r="987">
      <c r="A987" s="9" t="n"/>
      <c r="F987">
        <f>IF(E987="",F986,F986+E987)</f>
        <v/>
      </c>
      <c r="G987" s="11">
        <f>IF(E987="","",MIN(E987,MAX(0,10000-F986))*0.45+MAX(0,E987-MAX(0,10000-F986))*0.25)</f>
        <v/>
      </c>
    </row>
    <row r="988">
      <c r="A988" s="9" t="n"/>
      <c r="F988">
        <f>IF(E988="",F987,F987+E988)</f>
        <v/>
      </c>
      <c r="G988" s="11">
        <f>IF(E988="","",MIN(E988,MAX(0,10000-F987))*0.45+MAX(0,E988-MAX(0,10000-F987))*0.25)</f>
        <v/>
      </c>
    </row>
    <row r="989">
      <c r="A989" s="9" t="n"/>
      <c r="F989">
        <f>IF(E989="",F988,F988+E989)</f>
        <v/>
      </c>
      <c r="G989" s="11">
        <f>IF(E989="","",MIN(E989,MAX(0,10000-F988))*0.45+MAX(0,E989-MAX(0,10000-F988))*0.25)</f>
        <v/>
      </c>
    </row>
    <row r="990">
      <c r="A990" s="9" t="n"/>
      <c r="F990">
        <f>IF(E990="",F989,F989+E990)</f>
        <v/>
      </c>
      <c r="G990" s="11">
        <f>IF(E990="","",MIN(E990,MAX(0,10000-F989))*0.45+MAX(0,E990-MAX(0,10000-F989))*0.25)</f>
        <v/>
      </c>
    </row>
    <row r="991">
      <c r="A991" s="9" t="n"/>
      <c r="F991">
        <f>IF(E991="",F990,F990+E991)</f>
        <v/>
      </c>
      <c r="G991" s="11">
        <f>IF(E991="","",MIN(E991,MAX(0,10000-F990))*0.45+MAX(0,E991-MAX(0,10000-F990))*0.25)</f>
        <v/>
      </c>
    </row>
    <row r="992">
      <c r="A992" s="9" t="n"/>
      <c r="F992">
        <f>IF(E992="",F991,F991+E992)</f>
        <v/>
      </c>
      <c r="G992" s="11">
        <f>IF(E992="","",MIN(E992,MAX(0,10000-F991))*0.45+MAX(0,E992-MAX(0,10000-F991))*0.25)</f>
        <v/>
      </c>
    </row>
    <row r="993">
      <c r="A993" s="9" t="n"/>
      <c r="F993">
        <f>IF(E993="",F992,F992+E993)</f>
        <v/>
      </c>
      <c r="G993" s="11">
        <f>IF(E993="","",MIN(E993,MAX(0,10000-F992))*0.45+MAX(0,E993-MAX(0,10000-F992))*0.25)</f>
        <v/>
      </c>
    </row>
    <row r="994">
      <c r="A994" s="9" t="n"/>
      <c r="F994">
        <f>IF(E994="",F993,F993+E994)</f>
        <v/>
      </c>
      <c r="G994" s="11">
        <f>IF(E994="","",MIN(E994,MAX(0,10000-F993))*0.45+MAX(0,E994-MAX(0,10000-F993))*0.25)</f>
        <v/>
      </c>
    </row>
    <row r="995">
      <c r="A995" s="9" t="n"/>
      <c r="F995">
        <f>IF(E995="",F994,F994+E995)</f>
        <v/>
      </c>
      <c r="G995" s="11">
        <f>IF(E995="","",MIN(E995,MAX(0,10000-F994))*0.45+MAX(0,E995-MAX(0,10000-F994))*0.25)</f>
        <v/>
      </c>
    </row>
    <row r="996">
      <c r="A996" s="9" t="n"/>
      <c r="F996">
        <f>IF(E996="",F995,F995+E996)</f>
        <v/>
      </c>
      <c r="G996" s="11">
        <f>IF(E996="","",MIN(E996,MAX(0,10000-F995))*0.45+MAX(0,E996-MAX(0,10000-F995))*0.25)</f>
        <v/>
      </c>
    </row>
    <row r="997">
      <c r="A997" s="9" t="n"/>
      <c r="F997">
        <f>IF(E997="",F996,F996+E997)</f>
        <v/>
      </c>
      <c r="G997" s="11">
        <f>IF(E997="","",MIN(E997,MAX(0,10000-F996))*0.45+MAX(0,E997-MAX(0,10000-F996))*0.25)</f>
        <v/>
      </c>
    </row>
    <row r="998">
      <c r="A998" s="9" t="n"/>
      <c r="F998">
        <f>IF(E998="",F997,F997+E998)</f>
        <v/>
      </c>
      <c r="G998" s="11">
        <f>IF(E998="","",MIN(E998,MAX(0,10000-F997))*0.45+MAX(0,E998-MAX(0,10000-F997))*0.25)</f>
        <v/>
      </c>
    </row>
    <row r="999">
      <c r="A999" s="9" t="n"/>
      <c r="F999">
        <f>IF(E999="",F998,F998+E999)</f>
        <v/>
      </c>
      <c r="G999" s="11">
        <f>IF(E999="","",MIN(E999,MAX(0,10000-F998))*0.45+MAX(0,E999-MAX(0,10000-F998))*0.25)</f>
        <v/>
      </c>
    </row>
    <row r="1000">
      <c r="A1000" s="9" t="n"/>
      <c r="F1000">
        <f>IF(E1000="",F999,F999+E1000)</f>
        <v/>
      </c>
      <c r="G1000" s="11">
        <f>IF(E1000="","",MIN(E1000,MAX(0,10000-F999))*0.45+MAX(0,E1000-MAX(0,10000-F999))*0.25)</f>
        <v/>
      </c>
    </row>
    <row r="1001">
      <c r="A1001" s="9" t="n"/>
      <c r="F1001">
        <f>IF(E1001="",F1000,F1000+E1001)</f>
        <v/>
      </c>
      <c r="G1001" s="11">
        <f>IF(E1001="","",MIN(E1001,MAX(0,10000-F1000))*0.45+MAX(0,E1001-MAX(0,10000-F1000))*0.25)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0" t="inlineStr">
        <is>
          <t>Month</t>
        </is>
      </c>
      <c r="B1" s="10" t="inlineStr">
        <is>
          <t>Hours worked at home</t>
        </is>
      </c>
      <c r="C1" s="10" t="inlineStr">
        <is>
          <t>Flat rate £</t>
        </is>
      </c>
      <c r="E1" t="inlineStr">
        <is>
          <t>HMRC flat rates: 25-50 hours £10/month, 51-100 £18, 101+ £26. Source: gov.uk/simpler-income-tax-simplified-expenses</t>
        </is>
      </c>
    </row>
    <row r="2">
      <c r="A2" t="inlineStr">
        <is>
          <t>Apr 2026</t>
        </is>
      </c>
      <c r="B2" s="7" t="n"/>
      <c r="C2" s="11">
        <f>IF(B2&gt;=101,26,IF(B2&gt;=51,18,IF(B2&gt;=25,10,0)))</f>
        <v/>
      </c>
    </row>
    <row r="3">
      <c r="A3" t="inlineStr">
        <is>
          <t>May 2026</t>
        </is>
      </c>
      <c r="B3" s="7" t="n"/>
      <c r="C3" s="11">
        <f>IF(B3&gt;=101,26,IF(B3&gt;=51,18,IF(B3&gt;=25,10,0)))</f>
        <v/>
      </c>
    </row>
    <row r="4">
      <c r="A4" t="inlineStr">
        <is>
          <t>Jun 2026</t>
        </is>
      </c>
      <c r="B4" s="7" t="n"/>
      <c r="C4" s="11">
        <f>IF(B4&gt;=101,26,IF(B4&gt;=51,18,IF(B4&gt;=25,10,0)))</f>
        <v/>
      </c>
    </row>
    <row r="5">
      <c r="A5" t="inlineStr">
        <is>
          <t>Jul 2026</t>
        </is>
      </c>
      <c r="B5" s="7" t="n"/>
      <c r="C5" s="11">
        <f>IF(B5&gt;=101,26,IF(B5&gt;=51,18,IF(B5&gt;=25,10,0)))</f>
        <v/>
      </c>
    </row>
    <row r="6">
      <c r="A6" t="inlineStr">
        <is>
          <t>Aug 2026</t>
        </is>
      </c>
      <c r="B6" s="7" t="n"/>
      <c r="C6" s="11">
        <f>IF(B6&gt;=101,26,IF(B6&gt;=51,18,IF(B6&gt;=25,10,0)))</f>
        <v/>
      </c>
    </row>
    <row r="7">
      <c r="A7" t="inlineStr">
        <is>
          <t>Sep 2026</t>
        </is>
      </c>
      <c r="B7" s="7" t="n"/>
      <c r="C7" s="11">
        <f>IF(B7&gt;=101,26,IF(B7&gt;=51,18,IF(B7&gt;=25,10,0)))</f>
        <v/>
      </c>
    </row>
    <row r="8">
      <c r="A8" t="inlineStr">
        <is>
          <t>Oct 2026</t>
        </is>
      </c>
      <c r="B8" s="7" t="n"/>
      <c r="C8" s="11">
        <f>IF(B8&gt;=101,26,IF(B8&gt;=51,18,IF(B8&gt;=25,10,0)))</f>
        <v/>
      </c>
    </row>
    <row r="9">
      <c r="A9" t="inlineStr">
        <is>
          <t>Nov 2026</t>
        </is>
      </c>
      <c r="B9" s="7" t="n"/>
      <c r="C9" s="11">
        <f>IF(B9&gt;=101,26,IF(B9&gt;=51,18,IF(B9&gt;=25,10,0)))</f>
        <v/>
      </c>
    </row>
    <row r="10">
      <c r="A10" t="inlineStr">
        <is>
          <t>Dec 2026</t>
        </is>
      </c>
      <c r="B10" s="7" t="n"/>
      <c r="C10" s="11">
        <f>IF(B10&gt;=101,26,IF(B10&gt;=51,18,IF(B10&gt;=25,10,0)))</f>
        <v/>
      </c>
    </row>
    <row r="11">
      <c r="A11" t="inlineStr">
        <is>
          <t>Jan 2027</t>
        </is>
      </c>
      <c r="B11" s="7" t="n"/>
      <c r="C11" s="11">
        <f>IF(B11&gt;=101,26,IF(B11&gt;=51,18,IF(B11&gt;=25,10,0)))</f>
        <v/>
      </c>
    </row>
    <row r="12">
      <c r="A12" t="inlineStr">
        <is>
          <t>Feb 2027</t>
        </is>
      </c>
      <c r="B12" s="7" t="n"/>
      <c r="C12" s="11">
        <f>IF(B12&gt;=101,26,IF(B12&gt;=51,18,IF(B12&gt;=25,10,0)))</f>
        <v/>
      </c>
    </row>
    <row r="13">
      <c r="A13" t="inlineStr">
        <is>
          <t>Mar 2027</t>
        </is>
      </c>
      <c r="B13" s="7" t="n"/>
      <c r="C13" s="11">
        <f>IF(B13&gt;=101,26,IF(B13&gt;=51,18,IF(B13&gt;=25,10,0)))</f>
        <v/>
      </c>
    </row>
    <row r="14">
      <c r="A14" s="12" t="inlineStr">
        <is>
          <t>Total</t>
        </is>
      </c>
      <c r="C14" s="11">
        <f>SUM(C2:C13)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Quarterly summary – copy these into your bridging software</t>
        </is>
      </c>
    </row>
    <row r="2">
      <c r="A2" t="inlineStr">
        <is>
          <t>Quarterly updates are cumulative: HMRC asks for totals from the start of the tax year.</t>
        </is>
      </c>
    </row>
    <row r="3"/>
    <row r="4">
      <c r="A4" s="8" t="inlineStr">
        <is>
          <t>Category</t>
        </is>
      </c>
      <c r="B4" s="8" t="inlineStr">
        <is>
          <t>Q1</t>
        </is>
      </c>
      <c r="C4" s="8" t="inlineStr">
        <is>
          <t>Q2</t>
        </is>
      </c>
      <c r="D4" s="8" t="inlineStr">
        <is>
          <t>Q3</t>
        </is>
      </c>
      <c r="E4" s="8" t="inlineStr">
        <is>
          <t>Q4</t>
        </is>
      </c>
      <c r="F4" s="8" t="inlineStr">
        <is>
          <t>YTD to Q1</t>
        </is>
      </c>
      <c r="G4" s="8" t="inlineStr">
        <is>
          <t>YTD to Q2</t>
        </is>
      </c>
      <c r="H4" s="8" t="inlineStr">
        <is>
          <t>YTD to Q3</t>
        </is>
      </c>
      <c r="I4" s="8" t="inlineStr">
        <is>
          <t>YTD to Q4</t>
        </is>
      </c>
    </row>
    <row r="5">
      <c r="A5" s="12" t="inlineStr">
        <is>
          <t>INCOME</t>
        </is>
      </c>
    </row>
    <row r="6">
      <c r="A6" t="inlineStr">
        <is>
          <t>Rent received</t>
        </is>
      </c>
      <c r="B6" s="11">
        <f>SUMIFS(Income!$D:$D,Income!$C:$C,"Rent received",Income!$A:$A,"&gt;="&amp;Settings!$B$7,Income!$A:$A,"&lt;="&amp;Settings!$C$7)</f>
        <v/>
      </c>
      <c r="C6" s="11">
        <f>SUMIFS(Income!$D:$D,Income!$C:$C,"Rent received",Income!$A:$A,"&gt;="&amp;Settings!$B$8,Income!$A:$A,"&lt;="&amp;Settings!$C$8)</f>
        <v/>
      </c>
      <c r="D6" s="11">
        <f>SUMIFS(Income!$D:$D,Income!$C:$C,"Rent received",Income!$A:$A,"&gt;="&amp;Settings!$B$9,Income!$A:$A,"&lt;="&amp;Settings!$C$9)</f>
        <v/>
      </c>
      <c r="E6" s="11">
        <f>SUMIFS(Income!$D:$D,Income!$C:$C,"Rent received",Income!$A:$A,"&gt;="&amp;Settings!$B$10,Income!$A:$A,"&lt;="&amp;Settings!$C$10)</f>
        <v/>
      </c>
      <c r="F6" s="11">
        <f>SUMIFS(Income!$D:$D,Income!$C:$C,"Rent received",Income!$A:$A,"&gt;="&amp;Settings!$B$7,Income!$A:$A,"&lt;="&amp;Settings!$C$7)</f>
        <v/>
      </c>
      <c r="G6" s="11">
        <f>SUMIFS(Income!$D:$D,Income!$C:$C,"Rent received",Income!$A:$A,"&gt;="&amp;Settings!$B$7,Income!$A:$A,"&lt;="&amp;Settings!$C$8)</f>
        <v/>
      </c>
      <c r="H6" s="11">
        <f>SUMIFS(Income!$D:$D,Income!$C:$C,"Rent received",Income!$A:$A,"&gt;="&amp;Settings!$B$7,Income!$A:$A,"&lt;="&amp;Settings!$C$9)</f>
        <v/>
      </c>
      <c r="I6" s="11">
        <f>SUMIFS(Income!$D:$D,Income!$C:$C,"Rent received",Income!$A:$A,"&gt;="&amp;Settings!$B$7,Income!$A:$A,"&lt;="&amp;Settings!$C$10)</f>
        <v/>
      </c>
    </row>
    <row r="7">
      <c r="A7" t="inlineStr">
        <is>
          <t>Premiums for the grant of a lease</t>
        </is>
      </c>
      <c r="B7" s="11">
        <f>SUMIFS(Income!$D:$D,Income!$C:$C,"Premiums for the grant of a lease",Income!$A:$A,"&gt;="&amp;Settings!$B$7,Income!$A:$A,"&lt;="&amp;Settings!$C$7)</f>
        <v/>
      </c>
      <c r="C7" s="11">
        <f>SUMIFS(Income!$D:$D,Income!$C:$C,"Premiums for the grant of a lease",Income!$A:$A,"&gt;="&amp;Settings!$B$8,Income!$A:$A,"&lt;="&amp;Settings!$C$8)</f>
        <v/>
      </c>
      <c r="D7" s="11">
        <f>SUMIFS(Income!$D:$D,Income!$C:$C,"Premiums for the grant of a lease",Income!$A:$A,"&gt;="&amp;Settings!$B$9,Income!$A:$A,"&lt;="&amp;Settings!$C$9)</f>
        <v/>
      </c>
      <c r="E7" s="11">
        <f>SUMIFS(Income!$D:$D,Income!$C:$C,"Premiums for the grant of a lease",Income!$A:$A,"&gt;="&amp;Settings!$B$10,Income!$A:$A,"&lt;="&amp;Settings!$C$10)</f>
        <v/>
      </c>
      <c r="F7" s="11">
        <f>SUMIFS(Income!$D:$D,Income!$C:$C,"Premiums for the grant of a lease",Income!$A:$A,"&gt;="&amp;Settings!$B$7,Income!$A:$A,"&lt;="&amp;Settings!$C$7)</f>
        <v/>
      </c>
      <c r="G7" s="11">
        <f>SUMIFS(Income!$D:$D,Income!$C:$C,"Premiums for the grant of a lease",Income!$A:$A,"&gt;="&amp;Settings!$B$7,Income!$A:$A,"&lt;="&amp;Settings!$C$8)</f>
        <v/>
      </c>
      <c r="H7" s="11">
        <f>SUMIFS(Income!$D:$D,Income!$C:$C,"Premiums for the grant of a lease",Income!$A:$A,"&gt;="&amp;Settings!$B$7,Income!$A:$A,"&lt;="&amp;Settings!$C$9)</f>
        <v/>
      </c>
      <c r="I7" s="11">
        <f>SUMIFS(Income!$D:$D,Income!$C:$C,"Premiums for the grant of a lease",Income!$A:$A,"&gt;="&amp;Settings!$B$7,Income!$A:$A,"&lt;="&amp;Settings!$C$10)</f>
        <v/>
      </c>
    </row>
    <row r="8">
      <c r="A8" t="inlineStr">
        <is>
          <t>Reverse premiums and inducements</t>
        </is>
      </c>
      <c r="B8" s="11">
        <f>SUMIFS(Income!$D:$D,Income!$C:$C,"Reverse premiums and inducements",Income!$A:$A,"&gt;="&amp;Settings!$B$7,Income!$A:$A,"&lt;="&amp;Settings!$C$7)</f>
        <v/>
      </c>
      <c r="C8" s="11">
        <f>SUMIFS(Income!$D:$D,Income!$C:$C,"Reverse premiums and inducements",Income!$A:$A,"&gt;="&amp;Settings!$B$8,Income!$A:$A,"&lt;="&amp;Settings!$C$8)</f>
        <v/>
      </c>
      <c r="D8" s="11">
        <f>SUMIFS(Income!$D:$D,Income!$C:$C,"Reverse premiums and inducements",Income!$A:$A,"&gt;="&amp;Settings!$B$9,Income!$A:$A,"&lt;="&amp;Settings!$C$9)</f>
        <v/>
      </c>
      <c r="E8" s="11">
        <f>SUMIFS(Income!$D:$D,Income!$C:$C,"Reverse premiums and inducements",Income!$A:$A,"&gt;="&amp;Settings!$B$10,Income!$A:$A,"&lt;="&amp;Settings!$C$10)</f>
        <v/>
      </c>
      <c r="F8" s="11">
        <f>SUMIFS(Income!$D:$D,Income!$C:$C,"Reverse premiums and inducements",Income!$A:$A,"&gt;="&amp;Settings!$B$7,Income!$A:$A,"&lt;="&amp;Settings!$C$7)</f>
        <v/>
      </c>
      <c r="G8" s="11">
        <f>SUMIFS(Income!$D:$D,Income!$C:$C,"Reverse premiums and inducements",Income!$A:$A,"&gt;="&amp;Settings!$B$7,Income!$A:$A,"&lt;="&amp;Settings!$C$8)</f>
        <v/>
      </c>
      <c r="H8" s="11">
        <f>SUMIFS(Income!$D:$D,Income!$C:$C,"Reverse premiums and inducements",Income!$A:$A,"&gt;="&amp;Settings!$B$7,Income!$A:$A,"&lt;="&amp;Settings!$C$9)</f>
        <v/>
      </c>
      <c r="I8" s="11">
        <f>SUMIFS(Income!$D:$D,Income!$C:$C,"Reverse premiums and inducements",Income!$A:$A,"&gt;="&amp;Settings!$B$7,Income!$A:$A,"&lt;="&amp;Settings!$C$10)</f>
        <v/>
      </c>
    </row>
    <row r="9">
      <c r="A9" t="inlineStr">
        <is>
          <t>Other property income</t>
        </is>
      </c>
      <c r="B9" s="11">
        <f>SUMIFS(Income!$D:$D,Income!$C:$C,"Other property income",Income!$A:$A,"&gt;="&amp;Settings!$B$7,Income!$A:$A,"&lt;="&amp;Settings!$C$7)</f>
        <v/>
      </c>
      <c r="C9" s="11">
        <f>SUMIFS(Income!$D:$D,Income!$C:$C,"Other property income",Income!$A:$A,"&gt;="&amp;Settings!$B$8,Income!$A:$A,"&lt;="&amp;Settings!$C$8)</f>
        <v/>
      </c>
      <c r="D9" s="11">
        <f>SUMIFS(Income!$D:$D,Income!$C:$C,"Other property income",Income!$A:$A,"&gt;="&amp;Settings!$B$9,Income!$A:$A,"&lt;="&amp;Settings!$C$9)</f>
        <v/>
      </c>
      <c r="E9" s="11">
        <f>SUMIFS(Income!$D:$D,Income!$C:$C,"Other property income",Income!$A:$A,"&gt;="&amp;Settings!$B$10,Income!$A:$A,"&lt;="&amp;Settings!$C$10)</f>
        <v/>
      </c>
      <c r="F9" s="11">
        <f>SUMIFS(Income!$D:$D,Income!$C:$C,"Other property income",Income!$A:$A,"&gt;="&amp;Settings!$B$7,Income!$A:$A,"&lt;="&amp;Settings!$C$7)</f>
        <v/>
      </c>
      <c r="G9" s="11">
        <f>SUMIFS(Income!$D:$D,Income!$C:$C,"Other property income",Income!$A:$A,"&gt;="&amp;Settings!$B$7,Income!$A:$A,"&lt;="&amp;Settings!$C$8)</f>
        <v/>
      </c>
      <c r="H9" s="11">
        <f>SUMIFS(Income!$D:$D,Income!$C:$C,"Other property income",Income!$A:$A,"&gt;="&amp;Settings!$B$7,Income!$A:$A,"&lt;="&amp;Settings!$C$9)</f>
        <v/>
      </c>
      <c r="I9" s="11">
        <f>SUMIFS(Income!$D:$D,Income!$C:$C,"Other property income",Income!$A:$A,"&gt;="&amp;Settings!$B$7,Income!$A:$A,"&lt;="&amp;Settings!$C$10)</f>
        <v/>
      </c>
    </row>
    <row r="10"/>
    <row r="11">
      <c r="A11" s="12" t="inlineStr">
        <is>
          <t>EXPENSES (business part only)</t>
        </is>
      </c>
    </row>
    <row r="12">
      <c r="A12" t="inlineStr">
        <is>
          <t>Rent, rates, insurance and ground rents</t>
        </is>
      </c>
      <c r="B12" s="11">
        <f>SUMIFS(Expenses!$G:$G,Expenses!$D:$D,"Rent, rates, insurance and ground rents",Expenses!$A:$A,"&gt;="&amp;Settings!$B$7,Expenses!$A:$A,"&lt;="&amp;Settings!$C$7)</f>
        <v/>
      </c>
      <c r="C12" s="11">
        <f>SUMIFS(Expenses!$G:$G,Expenses!$D:$D,"Rent, rates, insurance and ground rents",Expenses!$A:$A,"&gt;="&amp;Settings!$B$8,Expenses!$A:$A,"&lt;="&amp;Settings!$C$8)</f>
        <v/>
      </c>
      <c r="D12" s="11">
        <f>SUMIFS(Expenses!$G:$G,Expenses!$D:$D,"Rent, rates, insurance and ground rents",Expenses!$A:$A,"&gt;="&amp;Settings!$B$9,Expenses!$A:$A,"&lt;="&amp;Settings!$C$9)</f>
        <v/>
      </c>
      <c r="E12" s="11">
        <f>SUMIFS(Expenses!$G:$G,Expenses!$D:$D,"Rent, rates, insurance and ground rents",Expenses!$A:$A,"&gt;="&amp;Settings!$B$10,Expenses!$A:$A,"&lt;="&amp;Settings!$C$10)</f>
        <v/>
      </c>
      <c r="F12" s="11">
        <f>SUMIFS(Expenses!$G:$G,Expenses!$D:$D,"Rent, rates, insurance and ground rents",Expenses!$A:$A,"&gt;="&amp;Settings!$B$7,Expenses!$A:$A,"&lt;="&amp;Settings!$C$7)</f>
        <v/>
      </c>
      <c r="G12" s="11">
        <f>SUMIFS(Expenses!$G:$G,Expenses!$D:$D,"Rent, rates, insurance and ground rents",Expenses!$A:$A,"&gt;="&amp;Settings!$B$7,Expenses!$A:$A,"&lt;="&amp;Settings!$C$8)</f>
        <v/>
      </c>
      <c r="H12" s="11">
        <f>SUMIFS(Expenses!$G:$G,Expenses!$D:$D,"Rent, rates, insurance and ground rents",Expenses!$A:$A,"&gt;="&amp;Settings!$B$7,Expenses!$A:$A,"&lt;="&amp;Settings!$C$9)</f>
        <v/>
      </c>
      <c r="I12" s="11">
        <f>SUMIFS(Expenses!$G:$G,Expenses!$D:$D,"Rent, rates, insurance and ground rents",Expenses!$A:$A,"&gt;="&amp;Settings!$B$7,Expenses!$A:$A,"&lt;="&amp;Settings!$C$10)</f>
        <v/>
      </c>
    </row>
    <row r="13">
      <c r="A13" t="inlineStr">
        <is>
          <t>Property repairs and maintenance</t>
        </is>
      </c>
      <c r="B13" s="11">
        <f>SUMIFS(Expenses!$G:$G,Expenses!$D:$D,"Property repairs and maintenance",Expenses!$A:$A,"&gt;="&amp;Settings!$B$7,Expenses!$A:$A,"&lt;="&amp;Settings!$C$7)</f>
        <v/>
      </c>
      <c r="C13" s="11">
        <f>SUMIFS(Expenses!$G:$G,Expenses!$D:$D,"Property repairs and maintenance",Expenses!$A:$A,"&gt;="&amp;Settings!$B$8,Expenses!$A:$A,"&lt;="&amp;Settings!$C$8)</f>
        <v/>
      </c>
      <c r="D13" s="11">
        <f>SUMIFS(Expenses!$G:$G,Expenses!$D:$D,"Property repairs and maintenance",Expenses!$A:$A,"&gt;="&amp;Settings!$B$9,Expenses!$A:$A,"&lt;="&amp;Settings!$C$9)</f>
        <v/>
      </c>
      <c r="E13" s="11">
        <f>SUMIFS(Expenses!$G:$G,Expenses!$D:$D,"Property repairs and maintenance",Expenses!$A:$A,"&gt;="&amp;Settings!$B$10,Expenses!$A:$A,"&lt;="&amp;Settings!$C$10)</f>
        <v/>
      </c>
      <c r="F13" s="11">
        <f>SUMIFS(Expenses!$G:$G,Expenses!$D:$D,"Property repairs and maintenance",Expenses!$A:$A,"&gt;="&amp;Settings!$B$7,Expenses!$A:$A,"&lt;="&amp;Settings!$C$7)</f>
        <v/>
      </c>
      <c r="G13" s="11">
        <f>SUMIFS(Expenses!$G:$G,Expenses!$D:$D,"Property repairs and maintenance",Expenses!$A:$A,"&gt;="&amp;Settings!$B$7,Expenses!$A:$A,"&lt;="&amp;Settings!$C$8)</f>
        <v/>
      </c>
      <c r="H13" s="11">
        <f>SUMIFS(Expenses!$G:$G,Expenses!$D:$D,"Property repairs and maintenance",Expenses!$A:$A,"&gt;="&amp;Settings!$B$7,Expenses!$A:$A,"&lt;="&amp;Settings!$C$9)</f>
        <v/>
      </c>
      <c r="I13" s="11">
        <f>SUMIFS(Expenses!$G:$G,Expenses!$D:$D,"Property repairs and maintenance",Expenses!$A:$A,"&gt;="&amp;Settings!$B$7,Expenses!$A:$A,"&lt;="&amp;Settings!$C$10)</f>
        <v/>
      </c>
    </row>
    <row r="14">
      <c r="A14" t="inlineStr">
        <is>
          <t>Non-residential property finance costs</t>
        </is>
      </c>
      <c r="B14" s="11">
        <f>SUMIFS(Expenses!$G:$G,Expenses!$D:$D,"Non-residential property finance costs",Expenses!$A:$A,"&gt;="&amp;Settings!$B$7,Expenses!$A:$A,"&lt;="&amp;Settings!$C$7)</f>
        <v/>
      </c>
      <c r="C14" s="11">
        <f>SUMIFS(Expenses!$G:$G,Expenses!$D:$D,"Non-residential property finance costs",Expenses!$A:$A,"&gt;="&amp;Settings!$B$8,Expenses!$A:$A,"&lt;="&amp;Settings!$C$8)</f>
        <v/>
      </c>
      <c r="D14" s="11">
        <f>SUMIFS(Expenses!$G:$G,Expenses!$D:$D,"Non-residential property finance costs",Expenses!$A:$A,"&gt;="&amp;Settings!$B$9,Expenses!$A:$A,"&lt;="&amp;Settings!$C$9)</f>
        <v/>
      </c>
      <c r="E14" s="11">
        <f>SUMIFS(Expenses!$G:$G,Expenses!$D:$D,"Non-residential property finance costs",Expenses!$A:$A,"&gt;="&amp;Settings!$B$10,Expenses!$A:$A,"&lt;="&amp;Settings!$C$10)</f>
        <v/>
      </c>
      <c r="F14" s="11">
        <f>SUMIFS(Expenses!$G:$G,Expenses!$D:$D,"Non-residential property finance costs",Expenses!$A:$A,"&gt;="&amp;Settings!$B$7,Expenses!$A:$A,"&lt;="&amp;Settings!$C$7)</f>
        <v/>
      </c>
      <c r="G14" s="11">
        <f>SUMIFS(Expenses!$G:$G,Expenses!$D:$D,"Non-residential property finance costs",Expenses!$A:$A,"&gt;="&amp;Settings!$B$7,Expenses!$A:$A,"&lt;="&amp;Settings!$C$8)</f>
        <v/>
      </c>
      <c r="H14" s="11">
        <f>SUMIFS(Expenses!$G:$G,Expenses!$D:$D,"Non-residential property finance costs",Expenses!$A:$A,"&gt;="&amp;Settings!$B$7,Expenses!$A:$A,"&lt;="&amp;Settings!$C$9)</f>
        <v/>
      </c>
      <c r="I14" s="11">
        <f>SUMIFS(Expenses!$G:$G,Expenses!$D:$D,"Non-residential property finance costs",Expenses!$A:$A,"&gt;="&amp;Settings!$B$7,Expenses!$A:$A,"&lt;="&amp;Settings!$C$10)</f>
        <v/>
      </c>
    </row>
    <row r="15">
      <c r="A15" t="inlineStr">
        <is>
          <t>Legal, management and other professional fees</t>
        </is>
      </c>
      <c r="B15" s="11">
        <f>SUMIFS(Expenses!$G:$G,Expenses!$D:$D,"Legal, management and other professional fees",Expenses!$A:$A,"&gt;="&amp;Settings!$B$7,Expenses!$A:$A,"&lt;="&amp;Settings!$C$7)</f>
        <v/>
      </c>
      <c r="C15" s="11">
        <f>SUMIFS(Expenses!$G:$G,Expenses!$D:$D,"Legal, management and other professional fees",Expenses!$A:$A,"&gt;="&amp;Settings!$B$8,Expenses!$A:$A,"&lt;="&amp;Settings!$C$8)</f>
        <v/>
      </c>
      <c r="D15" s="11">
        <f>SUMIFS(Expenses!$G:$G,Expenses!$D:$D,"Legal, management and other professional fees",Expenses!$A:$A,"&gt;="&amp;Settings!$B$9,Expenses!$A:$A,"&lt;="&amp;Settings!$C$9)</f>
        <v/>
      </c>
      <c r="E15" s="11">
        <f>SUMIFS(Expenses!$G:$G,Expenses!$D:$D,"Legal, management and other professional fees",Expenses!$A:$A,"&gt;="&amp;Settings!$B$10,Expenses!$A:$A,"&lt;="&amp;Settings!$C$10)</f>
        <v/>
      </c>
      <c r="F15" s="11">
        <f>SUMIFS(Expenses!$G:$G,Expenses!$D:$D,"Legal, management and other professional fees",Expenses!$A:$A,"&gt;="&amp;Settings!$B$7,Expenses!$A:$A,"&lt;="&amp;Settings!$C$7)</f>
        <v/>
      </c>
      <c r="G15" s="11">
        <f>SUMIFS(Expenses!$G:$G,Expenses!$D:$D,"Legal, management and other professional fees",Expenses!$A:$A,"&gt;="&amp;Settings!$B$7,Expenses!$A:$A,"&lt;="&amp;Settings!$C$8)</f>
        <v/>
      </c>
      <c r="H15" s="11">
        <f>SUMIFS(Expenses!$G:$G,Expenses!$D:$D,"Legal, management and other professional fees",Expenses!$A:$A,"&gt;="&amp;Settings!$B$7,Expenses!$A:$A,"&lt;="&amp;Settings!$C$9)</f>
        <v/>
      </c>
      <c r="I15" s="11">
        <f>SUMIFS(Expenses!$G:$G,Expenses!$D:$D,"Legal, management and other professional fees",Expenses!$A:$A,"&gt;="&amp;Settings!$B$7,Expenses!$A:$A,"&lt;="&amp;Settings!$C$10)</f>
        <v/>
      </c>
    </row>
    <row r="16">
      <c r="A16" t="inlineStr">
        <is>
          <t>Costs of services provided, including wages</t>
        </is>
      </c>
      <c r="B16" s="11">
        <f>SUMIFS(Expenses!$G:$G,Expenses!$D:$D,"Costs of services provided, including wages",Expenses!$A:$A,"&gt;="&amp;Settings!$B$7,Expenses!$A:$A,"&lt;="&amp;Settings!$C$7)</f>
        <v/>
      </c>
      <c r="C16" s="11">
        <f>SUMIFS(Expenses!$G:$G,Expenses!$D:$D,"Costs of services provided, including wages",Expenses!$A:$A,"&gt;="&amp;Settings!$B$8,Expenses!$A:$A,"&lt;="&amp;Settings!$C$8)</f>
        <v/>
      </c>
      <c r="D16" s="11">
        <f>SUMIFS(Expenses!$G:$G,Expenses!$D:$D,"Costs of services provided, including wages",Expenses!$A:$A,"&gt;="&amp;Settings!$B$9,Expenses!$A:$A,"&lt;="&amp;Settings!$C$9)</f>
        <v/>
      </c>
      <c r="E16" s="11">
        <f>SUMIFS(Expenses!$G:$G,Expenses!$D:$D,"Costs of services provided, including wages",Expenses!$A:$A,"&gt;="&amp;Settings!$B$10,Expenses!$A:$A,"&lt;="&amp;Settings!$C$10)</f>
        <v/>
      </c>
      <c r="F16" s="11">
        <f>SUMIFS(Expenses!$G:$G,Expenses!$D:$D,"Costs of services provided, including wages",Expenses!$A:$A,"&gt;="&amp;Settings!$B$7,Expenses!$A:$A,"&lt;="&amp;Settings!$C$7)</f>
        <v/>
      </c>
      <c r="G16" s="11">
        <f>SUMIFS(Expenses!$G:$G,Expenses!$D:$D,"Costs of services provided, including wages",Expenses!$A:$A,"&gt;="&amp;Settings!$B$7,Expenses!$A:$A,"&lt;="&amp;Settings!$C$8)</f>
        <v/>
      </c>
      <c r="H16" s="11">
        <f>SUMIFS(Expenses!$G:$G,Expenses!$D:$D,"Costs of services provided, including wages",Expenses!$A:$A,"&gt;="&amp;Settings!$B$7,Expenses!$A:$A,"&lt;="&amp;Settings!$C$9)</f>
        <v/>
      </c>
      <c r="I16" s="11">
        <f>SUMIFS(Expenses!$G:$G,Expenses!$D:$D,"Costs of services provided, including wages",Expenses!$A:$A,"&gt;="&amp;Settings!$B$7,Expenses!$A:$A,"&lt;="&amp;Settings!$C$10)</f>
        <v/>
      </c>
    </row>
    <row r="17">
      <c r="A17" t="inlineStr">
        <is>
          <t>Travel costs</t>
        </is>
      </c>
      <c r="B17" s="11">
        <f>SUMIFS(Expenses!$G:$G,Expenses!$D:$D,"Travel costs",Expenses!$A:$A,"&gt;="&amp;Settings!$B$7,Expenses!$A:$A,"&lt;="&amp;Settings!$C$7)</f>
        <v/>
      </c>
      <c r="C17" s="11">
        <f>SUMIFS(Expenses!$G:$G,Expenses!$D:$D,"Travel costs",Expenses!$A:$A,"&gt;="&amp;Settings!$B$8,Expenses!$A:$A,"&lt;="&amp;Settings!$C$8)</f>
        <v/>
      </c>
      <c r="D17" s="11">
        <f>SUMIFS(Expenses!$G:$G,Expenses!$D:$D,"Travel costs",Expenses!$A:$A,"&gt;="&amp;Settings!$B$9,Expenses!$A:$A,"&lt;="&amp;Settings!$C$9)</f>
        <v/>
      </c>
      <c r="E17" s="11">
        <f>SUMIFS(Expenses!$G:$G,Expenses!$D:$D,"Travel costs",Expenses!$A:$A,"&gt;="&amp;Settings!$B$10,Expenses!$A:$A,"&lt;="&amp;Settings!$C$10)</f>
        <v/>
      </c>
      <c r="F17" s="11">
        <f>SUMIFS(Expenses!$G:$G,Expenses!$D:$D,"Travel costs",Expenses!$A:$A,"&gt;="&amp;Settings!$B$7,Expenses!$A:$A,"&lt;="&amp;Settings!$C$7)</f>
        <v/>
      </c>
      <c r="G17" s="11">
        <f>SUMIFS(Expenses!$G:$G,Expenses!$D:$D,"Travel costs",Expenses!$A:$A,"&gt;="&amp;Settings!$B$7,Expenses!$A:$A,"&lt;="&amp;Settings!$C$8)</f>
        <v/>
      </c>
      <c r="H17" s="11">
        <f>SUMIFS(Expenses!$G:$G,Expenses!$D:$D,"Travel costs",Expenses!$A:$A,"&gt;="&amp;Settings!$B$7,Expenses!$A:$A,"&lt;="&amp;Settings!$C$9)</f>
        <v/>
      </c>
      <c r="I17" s="11">
        <f>SUMIFS(Expenses!$G:$G,Expenses!$D:$D,"Travel costs",Expenses!$A:$A,"&gt;="&amp;Settings!$B$7,Expenses!$A:$A,"&lt;="&amp;Settings!$C$10)</f>
        <v/>
      </c>
    </row>
    <row r="18">
      <c r="A18" t="inlineStr">
        <is>
          <t>Other allowable property expenses</t>
        </is>
      </c>
      <c r="B18" s="11">
        <f>SUMIFS(Expenses!$G:$G,Expenses!$D:$D,"Other allowable property expenses",Expenses!$A:$A,"&gt;="&amp;Settings!$B$7,Expenses!$A:$A,"&lt;="&amp;Settings!$C$7)</f>
        <v/>
      </c>
      <c r="C18" s="11">
        <f>SUMIFS(Expenses!$G:$G,Expenses!$D:$D,"Other allowable property expenses",Expenses!$A:$A,"&gt;="&amp;Settings!$B$8,Expenses!$A:$A,"&lt;="&amp;Settings!$C$8)</f>
        <v/>
      </c>
      <c r="D18" s="11">
        <f>SUMIFS(Expenses!$G:$G,Expenses!$D:$D,"Other allowable property expenses",Expenses!$A:$A,"&gt;="&amp;Settings!$B$9,Expenses!$A:$A,"&lt;="&amp;Settings!$C$9)</f>
        <v/>
      </c>
      <c r="E18" s="11">
        <f>SUMIFS(Expenses!$G:$G,Expenses!$D:$D,"Other allowable property expenses",Expenses!$A:$A,"&gt;="&amp;Settings!$B$10,Expenses!$A:$A,"&lt;="&amp;Settings!$C$10)</f>
        <v/>
      </c>
      <c r="F18" s="11">
        <f>SUMIFS(Expenses!$G:$G,Expenses!$D:$D,"Other allowable property expenses",Expenses!$A:$A,"&gt;="&amp;Settings!$B$7,Expenses!$A:$A,"&lt;="&amp;Settings!$C$7)</f>
        <v/>
      </c>
      <c r="G18" s="11">
        <f>SUMIFS(Expenses!$G:$G,Expenses!$D:$D,"Other allowable property expenses",Expenses!$A:$A,"&gt;="&amp;Settings!$B$7,Expenses!$A:$A,"&lt;="&amp;Settings!$C$8)</f>
        <v/>
      </c>
      <c r="H18" s="11">
        <f>SUMIFS(Expenses!$G:$G,Expenses!$D:$D,"Other allowable property expenses",Expenses!$A:$A,"&gt;="&amp;Settings!$B$7,Expenses!$A:$A,"&lt;="&amp;Settings!$C$9)</f>
        <v/>
      </c>
      <c r="I18" s="11">
        <f>SUMIFS(Expenses!$G:$G,Expenses!$D:$D,"Other allowable property expenses",Expenses!$A:$A,"&gt;="&amp;Settings!$B$7,Expenses!$A:$A,"&lt;="&amp;Settings!$C$10)</f>
        <v/>
      </c>
    </row>
    <row r="19"/>
    <row r="20">
      <c r="A20" s="12" t="inlineStr">
        <is>
          <t>Total income</t>
        </is>
      </c>
      <c r="B20" s="13">
        <f>SUM(B6:B9)</f>
        <v/>
      </c>
      <c r="C20" s="13">
        <f>SUM(C6:C9)</f>
        <v/>
      </c>
      <c r="D20" s="13">
        <f>SUM(D6:D9)</f>
        <v/>
      </c>
      <c r="E20" s="13">
        <f>SUM(E6:E9)</f>
        <v/>
      </c>
      <c r="F20" s="13">
        <f>SUM(F6:F9)</f>
        <v/>
      </c>
      <c r="G20" s="13">
        <f>SUM(G6:G9)</f>
        <v/>
      </c>
      <c r="H20" s="13">
        <f>SUM(H6:H9)</f>
        <v/>
      </c>
      <c r="I20" s="13">
        <f>SUM(I6:I9)</f>
        <v/>
      </c>
    </row>
    <row r="21">
      <c r="A21" s="12" t="inlineStr">
        <is>
          <t>Total expenses</t>
        </is>
      </c>
      <c r="B21" s="13">
        <f>SUM(B12:B18)</f>
        <v/>
      </c>
      <c r="C21" s="13">
        <f>SUM(C12:C18)</f>
        <v/>
      </c>
      <c r="D21" s="13">
        <f>SUM(D12:D18)</f>
        <v/>
      </c>
      <c r="E21" s="13">
        <f>SUM(E12:E18)</f>
        <v/>
      </c>
      <c r="F21" s="13">
        <f>SUM(F12:F18)</f>
        <v/>
      </c>
      <c r="G21" s="13">
        <f>SUM(G12:G18)</f>
        <v/>
      </c>
      <c r="H21" s="13">
        <f>SUM(H12:H18)</f>
        <v/>
      </c>
      <c r="I21" s="13">
        <f>SUM(I12:I18)</f>
        <v/>
      </c>
    </row>
    <row r="22">
      <c r="A22" s="12" t="inlineStr">
        <is>
          <t>Rental profit before mileage and finance-cost credit</t>
        </is>
      </c>
      <c r="B22" s="13">
        <f>B20-B21</f>
        <v/>
      </c>
      <c r="C22" s="13">
        <f>C20-C21</f>
        <v/>
      </c>
      <c r="D22" s="13">
        <f>D20-D21</f>
        <v/>
      </c>
      <c r="E22" s="13">
        <f>E20-E21</f>
        <v/>
      </c>
      <c r="F22" s="13">
        <f>F20-F21</f>
        <v/>
      </c>
      <c r="G22" s="13">
        <f>G20-G21</f>
        <v/>
      </c>
      <c r="H22" s="13">
        <f>H20-H21</f>
        <v/>
      </c>
      <c r="I22" s="13">
        <f>I20-I21</f>
        <v/>
      </c>
    </row>
    <row r="23"/>
    <row r="24">
      <c r="A24" s="12" t="inlineStr">
        <is>
          <t>Simplified expenses (add to the category your software asks for)</t>
        </is>
      </c>
    </row>
    <row r="25">
      <c r="A25" t="inlineStr">
        <is>
          <t>Mileage allowance (add to 'Travel costs')</t>
        </is>
      </c>
      <c r="B25" s="11">
        <f>SUMIFS(Mileage!$G:$G,Mileage!$A:$A,"&gt;="&amp;Settings!$B$7,Mileage!$A:$A,"&lt;="&amp;Settings!$C$7)</f>
        <v/>
      </c>
      <c r="C25" s="11">
        <f>SUMIFS(Mileage!$G:$G,Mileage!$A:$A,"&gt;="&amp;Settings!$B$8,Mileage!$A:$A,"&lt;="&amp;Settings!$C$8)</f>
        <v/>
      </c>
      <c r="D25" s="11">
        <f>SUMIFS(Mileage!$G:$G,Mileage!$A:$A,"&gt;="&amp;Settings!$B$9,Mileage!$A:$A,"&lt;="&amp;Settings!$C$9)</f>
        <v/>
      </c>
      <c r="E25" s="11">
        <f>SUMIFS(Mileage!$G:$G,Mileage!$A:$A,"&gt;="&amp;Settings!$B$10,Mileage!$A:$A,"&lt;="&amp;Settings!$C$10)</f>
        <v/>
      </c>
      <c r="F25" s="11">
        <f>SUMIFS(Mileage!$G:$G,Mileage!$A:$A,"&gt;="&amp;Settings!$B$7,Mileage!$A:$A,"&lt;="&amp;Settings!$C$7)</f>
        <v/>
      </c>
      <c r="G25" s="11">
        <f>SUMIFS(Mileage!$G:$G,Mileage!$A:$A,"&gt;="&amp;Settings!$B$7,Mileage!$A:$A,"&lt;="&amp;Settings!$C$8)</f>
        <v/>
      </c>
      <c r="H25" s="11">
        <f>SUMIFS(Mileage!$G:$G,Mileage!$A:$A,"&gt;="&amp;Settings!$B$7,Mileage!$A:$A,"&lt;="&amp;Settings!$C$9)</f>
        <v/>
      </c>
      <c r="I25" s="11">
        <f>SUMIFS(Mileage!$G:$G,Mileage!$A:$A,"&gt;="&amp;Settings!$B$7,Mileage!$A:$A,"&lt;="&amp;Settings!$C$10)</f>
        <v/>
      </c>
    </row>
    <row r="26"/>
    <row r="27">
      <c r="I27" s="11" t="n"/>
    </row>
    <row r="28"/>
    <row r="29">
      <c r="A29" s="14" t="inlineStr">
        <is>
          <t>This workbook helps landlords keep digital records. It is not HMRC-recognised software and cannot submit to HMRC by itself: use HMRC-recognised bridging software to send quarterly updates from a spreadsheet. It is not tax advice. Check gov.uk or an accountant for your circumstances.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4" customWidth="1" min="3" max="3"/>
    <col width="12" customWidth="1" min="4" max="4"/>
  </cols>
  <sheetData>
    <row r="1">
      <c r="A1" s="10" t="inlineStr">
        <is>
          <t>What</t>
        </is>
      </c>
      <c r="B1" s="10" t="inlineStr">
        <is>
          <t>Covers</t>
        </is>
      </c>
      <c r="C1" s="10" t="inlineStr">
        <is>
          <t>Deadline</t>
        </is>
      </c>
      <c r="D1" s="10" t="inlineStr">
        <is>
          <t>Days left</t>
        </is>
      </c>
    </row>
    <row r="2">
      <c r="A2" t="inlineStr">
        <is>
          <t>Quarterly update 1</t>
        </is>
      </c>
      <c r="B2" t="inlineStr">
        <is>
          <t>6 Apr - 5 Jul 2026 (cumulative)</t>
        </is>
      </c>
      <c r="C2" s="9" t="n">
        <v>46241</v>
      </c>
      <c r="D2">
        <f>C2-TODAY()</f>
        <v/>
      </c>
    </row>
    <row r="3">
      <c r="A3" t="inlineStr">
        <is>
          <t>Quarterly update 2</t>
        </is>
      </c>
      <c r="B3" t="inlineStr">
        <is>
          <t>Year to 5 Oct 2026</t>
        </is>
      </c>
      <c r="C3" s="9" t="n">
        <v>46333</v>
      </c>
      <c r="D3">
        <f>C3-TODAY()</f>
        <v/>
      </c>
    </row>
    <row r="4">
      <c r="A4" t="inlineStr">
        <is>
          <t>Quarterly update 3</t>
        </is>
      </c>
      <c r="B4" t="inlineStr">
        <is>
          <t>Year to 5 Jan 2027</t>
        </is>
      </c>
      <c r="C4" s="9" t="n">
        <v>46425</v>
      </c>
      <c r="D4">
        <f>C4-TODAY()</f>
        <v/>
      </c>
    </row>
    <row r="5">
      <c r="A5" t="inlineStr">
        <is>
          <t>Quarterly update 4</t>
        </is>
      </c>
      <c r="B5" t="inlineStr">
        <is>
          <t>Year to 5 Apr 2027</t>
        </is>
      </c>
      <c r="C5" s="9" t="n">
        <v>46514</v>
      </c>
      <c r="D5">
        <f>C5-TODAY()</f>
        <v/>
      </c>
    </row>
    <row r="6">
      <c r="A6" t="inlineStr">
        <is>
          <t>Final declaration + pay balance</t>
        </is>
      </c>
      <c r="B6" t="inlineStr">
        <is>
          <t>Tax year 2026-27</t>
        </is>
      </c>
      <c r="C6" s="9" t="n">
        <v>46783</v>
      </c>
      <c r="D6">
        <f>C6-TODAY()</f>
        <v/>
      </c>
    </row>
    <row r="8">
      <c r="A8" t="inlineStr">
        <is>
          <t>Same deadlines apply whether you use standard or calendar quarters. Source: gov.uk (MTD for Income Tax).</t>
        </is>
      </c>
    </row>
  </sheetData>
  <conditionalFormatting sqref="D2:D6">
    <cfRule type="expression" priority="1" dxfId="0">
      <formula>AND(D2&gt;=0,D2&lt;=14)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categories</t>
        </is>
      </c>
      <c r="B1" t="inlineStr">
        <is>
          <t>Expense categories</t>
        </is>
      </c>
    </row>
    <row r="2">
      <c r="A2" t="inlineStr">
        <is>
          <t>Rent received</t>
        </is>
      </c>
      <c r="B2" t="inlineStr">
        <is>
          <t>Rent, rates, insurance and ground rents</t>
        </is>
      </c>
    </row>
    <row r="3">
      <c r="A3" t="inlineStr">
        <is>
          <t>Premiums for the grant of a lease</t>
        </is>
      </c>
      <c r="B3" t="inlineStr">
        <is>
          <t>Property repairs and maintenance</t>
        </is>
      </c>
    </row>
    <row r="4">
      <c r="A4" t="inlineStr">
        <is>
          <t>Reverse premiums and inducements</t>
        </is>
      </c>
      <c r="B4" t="inlineStr">
        <is>
          <t>Non-residential property finance costs</t>
        </is>
      </c>
    </row>
    <row r="5">
      <c r="A5" t="inlineStr">
        <is>
          <t>Other property income</t>
        </is>
      </c>
      <c r="B5" t="inlineStr">
        <is>
          <t>Legal, management and other professional fees</t>
        </is>
      </c>
    </row>
    <row r="6">
      <c r="B6" t="inlineStr">
        <is>
          <t>Costs of services provided, including wages</t>
        </is>
      </c>
    </row>
    <row r="7">
      <c r="B7" t="inlineStr">
        <is>
          <t>Travel costs</t>
        </is>
      </c>
    </row>
    <row r="8">
      <c r="B8" t="inlineStr">
        <is>
          <t>Other allowable property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2026-09-25T20:08:57Z</dcterms:created>
  <dcterms:modified xsi:type="dcterms:W3CDTF">2026-09-25T20:08:57Z</dcterms:modified>
</cp:coreProperties>
</file>