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-flow forecast" sheetId="1" state="visible" r:id="rId1"/>
    <sheet name="VAT threshold watch" sheetId="2" state="visible" r:id="rId2"/>
    <sheet name="Flat Rate vs Stand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mm yyyy"/>
    <numFmt numFmtId="165" formatCode="£#,##0;[Red]-£#,##0"/>
    <numFmt numFmtId="166" formatCode="mmm yy"/>
    <numFmt numFmtId="167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164" fontId="0" fillId="2" borderId="0" pivotButton="0" quotePrefix="0" xfId="0"/>
    <xf numFmtId="165" fontId="0" fillId="2" borderId="0" pivotButton="0" quotePrefix="0" xfId="0"/>
    <xf numFmtId="0" fontId="2" fillId="3" borderId="0" pivotButton="0" quotePrefix="0" xfId="0"/>
    <xf numFmtId="166" fontId="2" fillId="3" borderId="0" pivotButton="0" quotePrefix="0" xfId="0"/>
    <xf numFmtId="0" fontId="3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7" fontId="0" fillId="2" borderId="0" pivotButton="0" quotePrefix="0" xfId="0"/>
    <xf numFmtId="0" fontId="0" fillId="2" borderId="0" pivotButton="0" quotePrefix="0" xfId="0"/>
    <xf numFmtId="167" fontId="0" fillId="0" borderId="0" pivotButton="0" quotePrefix="0" xfId="0"/>
    <xf numFmtId="165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12-month cash-flow forecast</t>
        </is>
      </c>
    </row>
    <row r="2">
      <c r="A2" t="inlineStr">
        <is>
          <t>First month (date)</t>
        </is>
      </c>
      <c r="B2" s="2">
        <f>DATE(2026,10,1)</f>
        <v/>
      </c>
    </row>
    <row r="3">
      <c r="A3" t="inlineStr">
        <is>
          <t>Opening bank balance £</t>
        </is>
      </c>
      <c r="B3" s="3" t="n">
        <v>0</v>
      </c>
    </row>
    <row r="5">
      <c r="A5" s="4" t="inlineStr">
        <is>
          <t>Month</t>
        </is>
      </c>
      <c r="B5" s="5">
        <f>EDATE($B$2,0)</f>
        <v/>
      </c>
      <c r="C5" s="5">
        <f>EDATE($B$2,1)</f>
        <v/>
      </c>
      <c r="D5" s="5">
        <f>EDATE($B$2,2)</f>
        <v/>
      </c>
      <c r="E5" s="5">
        <f>EDATE($B$2,3)</f>
        <v/>
      </c>
      <c r="F5" s="5">
        <f>EDATE($B$2,4)</f>
        <v/>
      </c>
      <c r="G5" s="5">
        <f>EDATE($B$2,5)</f>
        <v/>
      </c>
      <c r="H5" s="5">
        <f>EDATE($B$2,6)</f>
        <v/>
      </c>
      <c r="I5" s="5">
        <f>EDATE($B$2,7)</f>
        <v/>
      </c>
      <c r="J5" s="5">
        <f>EDATE($B$2,8)</f>
        <v/>
      </c>
      <c r="K5" s="5">
        <f>EDATE($B$2,9)</f>
        <v/>
      </c>
      <c r="L5" s="5">
        <f>EDATE($B$2,10)</f>
        <v/>
      </c>
      <c r="M5" s="5">
        <f>EDATE($B$2,11)</f>
        <v/>
      </c>
    </row>
    <row r="6">
      <c r="A6" s="6" t="inlineStr">
        <is>
          <t>MONEY IN</t>
        </is>
      </c>
    </row>
    <row r="7">
      <c r="A7" t="inlineStr">
        <is>
          <t>Sales (cash/card)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t="inlineStr">
        <is>
          <t>Invoices paid by customers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t="inlineStr">
        <is>
          <t>Other income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t="inlineStr">
        <is>
          <t>Loans / owner money in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6" t="inlineStr">
        <is>
          <t>Total in</t>
        </is>
      </c>
      <c r="B11" s="7">
        <f>SUM(B7:B10)</f>
        <v/>
      </c>
      <c r="C11" s="7">
        <f>SUM(C7:C10)</f>
        <v/>
      </c>
      <c r="D11" s="7">
        <f>SUM(D7:D10)</f>
        <v/>
      </c>
      <c r="E11" s="7">
        <f>SUM(E7:E10)</f>
        <v/>
      </c>
      <c r="F11" s="7">
        <f>SUM(F7:F10)</f>
        <v/>
      </c>
      <c r="G11" s="7">
        <f>SUM(G7:G10)</f>
        <v/>
      </c>
      <c r="H11" s="7">
        <f>SUM(H7:H10)</f>
        <v/>
      </c>
      <c r="I11" s="7">
        <f>SUM(I7:I10)</f>
        <v/>
      </c>
      <c r="J11" s="7">
        <f>SUM(J7:J10)</f>
        <v/>
      </c>
      <c r="K11" s="7">
        <f>SUM(K7:K10)</f>
        <v/>
      </c>
      <c r="L11" s="7">
        <f>SUM(L7:L10)</f>
        <v/>
      </c>
      <c r="M11" s="7">
        <f>SUM(M7:M10)</f>
        <v/>
      </c>
    </row>
    <row r="12"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6" t="inlineStr">
        <is>
          <t>MONEY OUT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>
      <c r="A14" t="inlineStr">
        <is>
          <t>Stock / materials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t="inlineStr">
        <is>
          <t>Wages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t="inlineStr">
        <is>
          <t>Rent &amp; rates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t="inlineStr">
        <is>
          <t>Utilities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t="inlineStr">
        <is>
          <t>Phone &amp; internet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t="inlineStr">
        <is>
          <t>Insurance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t="inlineStr">
        <is>
          <t>Marketing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t="inlineStr">
        <is>
          <t>Software &amp; subscriptions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t="inlineStr">
        <is>
          <t>Vehicle &amp; travel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t="inlineStr">
        <is>
          <t>Loan repayments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t="inlineStr">
        <is>
          <t>VAT to HMRC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t="inlineStr">
        <is>
          <t>Income tax / NI set-aside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t="inlineStr">
        <is>
          <t>Owner drawings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t="inlineStr">
        <is>
          <t>Other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6" t="inlineStr">
        <is>
          <t>Total out</t>
        </is>
      </c>
      <c r="B28" s="7">
        <f>SUM(B14:B27)</f>
        <v/>
      </c>
      <c r="C28" s="7">
        <f>SUM(C14:C27)</f>
        <v/>
      </c>
      <c r="D28" s="7">
        <f>SUM(D14:D27)</f>
        <v/>
      </c>
      <c r="E28" s="7">
        <f>SUM(E14:E27)</f>
        <v/>
      </c>
      <c r="F28" s="7">
        <f>SUM(F14:F27)</f>
        <v/>
      </c>
      <c r="G28" s="7">
        <f>SUM(G14:G27)</f>
        <v/>
      </c>
      <c r="H28" s="7">
        <f>SUM(H14:H27)</f>
        <v/>
      </c>
      <c r="I28" s="7">
        <f>SUM(I14:I27)</f>
        <v/>
      </c>
      <c r="J28" s="7">
        <f>SUM(J14:J27)</f>
        <v/>
      </c>
      <c r="K28" s="7">
        <f>SUM(K14:K27)</f>
        <v/>
      </c>
      <c r="L28" s="7">
        <f>SUM(L14:L27)</f>
        <v/>
      </c>
      <c r="M28" s="7">
        <f>SUM(M14:M27)</f>
        <v/>
      </c>
    </row>
    <row r="29"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</row>
    <row r="30">
      <c r="A30" s="6" t="inlineStr">
        <is>
          <t>Net cash flow</t>
        </is>
      </c>
      <c r="B30" s="7">
        <f>B11-B28</f>
        <v/>
      </c>
      <c r="C30" s="7">
        <f>C11-C28</f>
        <v/>
      </c>
      <c r="D30" s="7">
        <f>D11-D28</f>
        <v/>
      </c>
      <c r="E30" s="7">
        <f>E11-E28</f>
        <v/>
      </c>
      <c r="F30" s="7">
        <f>F11-F28</f>
        <v/>
      </c>
      <c r="G30" s="7">
        <f>G11-G28</f>
        <v/>
      </c>
      <c r="H30" s="7">
        <f>H11-H28</f>
        <v/>
      </c>
      <c r="I30" s="7">
        <f>I11-I28</f>
        <v/>
      </c>
      <c r="J30" s="7">
        <f>J11-J28</f>
        <v/>
      </c>
      <c r="K30" s="7">
        <f>K11-K28</f>
        <v/>
      </c>
      <c r="L30" s="7">
        <f>L11-L28</f>
        <v/>
      </c>
      <c r="M30" s="7">
        <f>M11-M28</f>
        <v/>
      </c>
    </row>
    <row r="31">
      <c r="A31" t="inlineStr">
        <is>
          <t>Opening balance</t>
        </is>
      </c>
      <c r="B31" s="7">
        <f>$B$3</f>
        <v/>
      </c>
      <c r="C31" s="7">
        <f>B32</f>
        <v/>
      </c>
      <c r="D31" s="7">
        <f>C32</f>
        <v/>
      </c>
      <c r="E31" s="7">
        <f>D32</f>
        <v/>
      </c>
      <c r="F31" s="7">
        <f>E32</f>
        <v/>
      </c>
      <c r="G31" s="7">
        <f>F32</f>
        <v/>
      </c>
      <c r="H31" s="7">
        <f>G32</f>
        <v/>
      </c>
      <c r="I31" s="7">
        <f>H32</f>
        <v/>
      </c>
      <c r="J31" s="7">
        <f>I32</f>
        <v/>
      </c>
      <c r="K31" s="7">
        <f>J32</f>
        <v/>
      </c>
      <c r="L31" s="7">
        <f>K32</f>
        <v/>
      </c>
      <c r="M31" s="7">
        <f>L32</f>
        <v/>
      </c>
    </row>
    <row r="32">
      <c r="A32" s="6" t="inlineStr">
        <is>
          <t>Closing balance</t>
        </is>
      </c>
      <c r="B32" s="7">
        <f>B31+B30</f>
        <v/>
      </c>
      <c r="C32" s="7">
        <f>C31+C30</f>
        <v/>
      </c>
      <c r="D32" s="7">
        <f>D31+D30</f>
        <v/>
      </c>
      <c r="E32" s="7">
        <f>E31+E30</f>
        <v/>
      </c>
      <c r="F32" s="7">
        <f>F31+F30</f>
        <v/>
      </c>
      <c r="G32" s="7">
        <f>G31+G30</f>
        <v/>
      </c>
      <c r="H32" s="7">
        <f>H31+H30</f>
        <v/>
      </c>
      <c r="I32" s="7">
        <f>I31+I30</f>
        <v/>
      </c>
      <c r="J32" s="7">
        <f>J31+J30</f>
        <v/>
      </c>
      <c r="K32" s="7">
        <f>K31+K30</f>
        <v/>
      </c>
      <c r="L32" s="7">
        <f>L31+L30</f>
        <v/>
      </c>
      <c r="M32" s="7">
        <f>M31+M30</f>
        <v/>
      </c>
    </row>
    <row r="34">
      <c r="A34" t="inlineStr">
        <is>
          <t>Red closing balance = you would be overdrawn that month.</t>
        </is>
      </c>
    </row>
  </sheetData>
  <conditionalFormatting sqref="B32:M32">
    <cfRule type="expression" priority="1" dxfId="0">
      <formula>B32&lt;0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16" customWidth="1" min="4" max="4"/>
  </cols>
  <sheetData>
    <row r="1">
      <c r="A1" s="1" t="inlineStr">
        <is>
          <t>VAT registration threshold watch (rolling 12 months)</t>
        </is>
      </c>
    </row>
    <row r="2">
      <c r="A2" t="inlineStr">
        <is>
          <t>You must register if VAT-taxable turnover in the last 12 months goes over £90,000 (or you expect to in the next 30 days alone).</t>
        </is>
      </c>
    </row>
    <row r="3">
      <c r="A3" t="inlineStr">
        <is>
          <t>Threshold £</t>
        </is>
      </c>
      <c r="B3" s="7" t="n">
        <v>90000</v>
      </c>
    </row>
    <row r="5">
      <c r="A5" s="4" t="inlineStr">
        <is>
          <t>Month</t>
        </is>
      </c>
      <c r="B5" s="4" t="inlineStr">
        <is>
          <t>Taxable turnover £</t>
        </is>
      </c>
      <c r="C5" s="4" t="inlineStr">
        <is>
          <t>Rolling 12-month total £</t>
        </is>
      </c>
      <c r="D5" s="4" t="inlineStr">
        <is>
          <t>Headroom £</t>
        </is>
      </c>
      <c r="F5" t="inlineStr">
        <is>
          <t>Red = over the threshold: register within 30 days of the end of that month. Amber = within 15%.</t>
        </is>
      </c>
    </row>
    <row r="6">
      <c r="A6" s="8">
        <f>EDATE(DATE(2025,4,1),0)</f>
        <v/>
      </c>
      <c r="B6" s="3" t="n"/>
      <c r="C6" s="7">
        <f>SUM(B6:B6)</f>
        <v/>
      </c>
      <c r="D6" s="7">
        <f>$B$3-C6</f>
        <v/>
      </c>
      <c r="F6" t="inlineStr">
        <is>
          <t>A planning aid, not tax advice. Check gov.uk/vat-registration and gov.uk/vat-flat-rate-scheme.</t>
        </is>
      </c>
    </row>
    <row r="7">
      <c r="A7" s="8">
        <f>EDATE(DATE(2025,4,1),1)</f>
        <v/>
      </c>
      <c r="B7" s="3" t="n"/>
      <c r="C7" s="7">
        <f>SUM(B6:B7)</f>
        <v/>
      </c>
      <c r="D7" s="7">
        <f>$B$3-C7</f>
        <v/>
      </c>
    </row>
    <row r="8">
      <c r="A8" s="8">
        <f>EDATE(DATE(2025,4,1),2)</f>
        <v/>
      </c>
      <c r="B8" s="3" t="n"/>
      <c r="C8" s="7">
        <f>SUM(B6:B8)</f>
        <v/>
      </c>
      <c r="D8" s="7">
        <f>$B$3-C8</f>
        <v/>
      </c>
    </row>
    <row r="9">
      <c r="A9" s="8">
        <f>EDATE(DATE(2025,4,1),3)</f>
        <v/>
      </c>
      <c r="B9" s="3" t="n"/>
      <c r="C9" s="7">
        <f>SUM(B6:B9)</f>
        <v/>
      </c>
      <c r="D9" s="7">
        <f>$B$3-C9</f>
        <v/>
      </c>
    </row>
    <row r="10">
      <c r="A10" s="8">
        <f>EDATE(DATE(2025,4,1),4)</f>
        <v/>
      </c>
      <c r="B10" s="3" t="n"/>
      <c r="C10" s="7">
        <f>SUM(B6:B10)</f>
        <v/>
      </c>
      <c r="D10" s="7">
        <f>$B$3-C10</f>
        <v/>
      </c>
    </row>
    <row r="11">
      <c r="A11" s="8">
        <f>EDATE(DATE(2025,4,1),5)</f>
        <v/>
      </c>
      <c r="B11" s="3" t="n"/>
      <c r="C11" s="7">
        <f>SUM(B6:B11)</f>
        <v/>
      </c>
      <c r="D11" s="7">
        <f>$B$3-C11</f>
        <v/>
      </c>
    </row>
    <row r="12">
      <c r="A12" s="8">
        <f>EDATE(DATE(2025,4,1),6)</f>
        <v/>
      </c>
      <c r="B12" s="3" t="n"/>
      <c r="C12" s="7">
        <f>SUM(B6:B12)</f>
        <v/>
      </c>
      <c r="D12" s="7">
        <f>$B$3-C12</f>
        <v/>
      </c>
    </row>
    <row r="13">
      <c r="A13" s="8">
        <f>EDATE(DATE(2025,4,1),7)</f>
        <v/>
      </c>
      <c r="B13" s="3" t="n"/>
      <c r="C13" s="7">
        <f>SUM(B6:B13)</f>
        <v/>
      </c>
      <c r="D13" s="7">
        <f>$B$3-C13</f>
        <v/>
      </c>
    </row>
    <row r="14">
      <c r="A14" s="8">
        <f>EDATE(DATE(2025,4,1),8)</f>
        <v/>
      </c>
      <c r="B14" s="3" t="n"/>
      <c r="C14" s="7">
        <f>SUM(B6:B14)</f>
        <v/>
      </c>
      <c r="D14" s="7">
        <f>$B$3-C14</f>
        <v/>
      </c>
    </row>
    <row r="15">
      <c r="A15" s="8">
        <f>EDATE(DATE(2025,4,1),9)</f>
        <v/>
      </c>
      <c r="B15" s="3" t="n"/>
      <c r="C15" s="7">
        <f>SUM(B6:B15)</f>
        <v/>
      </c>
      <c r="D15" s="7">
        <f>$B$3-C15</f>
        <v/>
      </c>
    </row>
    <row r="16">
      <c r="A16" s="8">
        <f>EDATE(DATE(2025,4,1),10)</f>
        <v/>
      </c>
      <c r="B16" s="3" t="n"/>
      <c r="C16" s="7">
        <f>SUM(B6:B16)</f>
        <v/>
      </c>
      <c r="D16" s="7">
        <f>$B$3-C16</f>
        <v/>
      </c>
    </row>
    <row r="17">
      <c r="A17" s="8">
        <f>EDATE(DATE(2025,4,1),11)</f>
        <v/>
      </c>
      <c r="B17" s="3" t="n"/>
      <c r="C17" s="7">
        <f>SUM(B6:B17)</f>
        <v/>
      </c>
      <c r="D17" s="7">
        <f>$B$3-C17</f>
        <v/>
      </c>
    </row>
    <row r="18">
      <c r="A18" s="8">
        <f>EDATE(DATE(2025,4,1),12)</f>
        <v/>
      </c>
      <c r="B18" s="3" t="n"/>
      <c r="C18" s="7">
        <f>SUM(B7:B18)</f>
        <v/>
      </c>
      <c r="D18" s="7">
        <f>$B$3-C18</f>
        <v/>
      </c>
    </row>
    <row r="19">
      <c r="A19" s="8">
        <f>EDATE(DATE(2025,4,1),13)</f>
        <v/>
      </c>
      <c r="B19" s="3" t="n"/>
      <c r="C19" s="7">
        <f>SUM(B8:B19)</f>
        <v/>
      </c>
      <c r="D19" s="7">
        <f>$B$3-C19</f>
        <v/>
      </c>
    </row>
    <row r="20">
      <c r="A20" s="8">
        <f>EDATE(DATE(2025,4,1),14)</f>
        <v/>
      </c>
      <c r="B20" s="3" t="n"/>
      <c r="C20" s="7">
        <f>SUM(B9:B20)</f>
        <v/>
      </c>
      <c r="D20" s="7">
        <f>$B$3-C20</f>
        <v/>
      </c>
    </row>
    <row r="21">
      <c r="A21" s="8">
        <f>EDATE(DATE(2025,4,1),15)</f>
        <v/>
      </c>
      <c r="B21" s="3" t="n"/>
      <c r="C21" s="7">
        <f>SUM(B10:B21)</f>
        <v/>
      </c>
      <c r="D21" s="7">
        <f>$B$3-C21</f>
        <v/>
      </c>
    </row>
    <row r="22">
      <c r="A22" s="8">
        <f>EDATE(DATE(2025,4,1),16)</f>
        <v/>
      </c>
      <c r="B22" s="3" t="n"/>
      <c r="C22" s="7">
        <f>SUM(B11:B22)</f>
        <v/>
      </c>
      <c r="D22" s="7">
        <f>$B$3-C22</f>
        <v/>
      </c>
    </row>
    <row r="23">
      <c r="A23" s="8">
        <f>EDATE(DATE(2025,4,1),17)</f>
        <v/>
      </c>
      <c r="B23" s="3" t="n"/>
      <c r="C23" s="7">
        <f>SUM(B12:B23)</f>
        <v/>
      </c>
      <c r="D23" s="7">
        <f>$B$3-C23</f>
        <v/>
      </c>
    </row>
    <row r="24">
      <c r="A24" s="8">
        <f>EDATE(DATE(2025,4,1),18)</f>
        <v/>
      </c>
      <c r="B24" s="3" t="n"/>
      <c r="C24" s="7">
        <f>SUM(B13:B24)</f>
        <v/>
      </c>
      <c r="D24" s="7">
        <f>$B$3-C24</f>
        <v/>
      </c>
    </row>
    <row r="25">
      <c r="A25" s="8">
        <f>EDATE(DATE(2025,4,1),19)</f>
        <v/>
      </c>
      <c r="B25" s="3" t="n"/>
      <c r="C25" s="7">
        <f>SUM(B14:B25)</f>
        <v/>
      </c>
      <c r="D25" s="7">
        <f>$B$3-C25</f>
        <v/>
      </c>
    </row>
    <row r="26">
      <c r="A26" s="8">
        <f>EDATE(DATE(2025,4,1),20)</f>
        <v/>
      </c>
      <c r="B26" s="3" t="n"/>
      <c r="C26" s="7">
        <f>SUM(B15:B26)</f>
        <v/>
      </c>
      <c r="D26" s="7">
        <f>$B$3-C26</f>
        <v/>
      </c>
    </row>
    <row r="27">
      <c r="A27" s="8">
        <f>EDATE(DATE(2025,4,1),21)</f>
        <v/>
      </c>
      <c r="B27" s="3" t="n"/>
      <c r="C27" s="7">
        <f>SUM(B16:B27)</f>
        <v/>
      </c>
      <c r="D27" s="7">
        <f>$B$3-C27</f>
        <v/>
      </c>
    </row>
    <row r="28">
      <c r="A28" s="8">
        <f>EDATE(DATE(2025,4,1),22)</f>
        <v/>
      </c>
      <c r="B28" s="3" t="n"/>
      <c r="C28" s="7">
        <f>SUM(B17:B28)</f>
        <v/>
      </c>
      <c r="D28" s="7">
        <f>$B$3-C28</f>
        <v/>
      </c>
    </row>
    <row r="29">
      <c r="A29" s="8">
        <f>EDATE(DATE(2025,4,1),23)</f>
        <v/>
      </c>
      <c r="B29" s="3" t="n"/>
      <c r="C29" s="7">
        <f>SUM(B18:B29)</f>
        <v/>
      </c>
      <c r="D29" s="7">
        <f>$B$3-C29</f>
        <v/>
      </c>
    </row>
  </sheetData>
  <conditionalFormatting sqref="C6:C29">
    <cfRule type="expression" priority="1" dxfId="0">
      <formula>C6&gt;$B$3</formula>
    </cfRule>
    <cfRule type="expression" priority="2" dxfId="1">
      <formula>C6&gt;$B$3*0.85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</cols>
  <sheetData>
    <row r="1">
      <c r="A1" s="1" t="inlineStr">
        <is>
          <t>Flat Rate Scheme vs standard VAT accounting (annual)</t>
        </is>
      </c>
    </row>
    <row r="3">
      <c r="A3" t="inlineStr">
        <is>
          <t>Turnover excluding VAT £</t>
        </is>
      </c>
      <c r="B3" s="3" t="n">
        <v>60000</v>
      </c>
    </row>
    <row r="4">
      <c r="A4" t="inlineStr">
        <is>
          <t>VAT rate charged to customers</t>
        </is>
      </c>
      <c r="B4" s="9" t="n">
        <v>0.2</v>
      </c>
    </row>
    <row r="5">
      <c r="A5" t="inlineStr">
        <is>
          <t>Your sector flat rate % (from gov.uk list)</t>
        </is>
      </c>
      <c r="B5" s="9" t="n">
        <v>0.145</v>
      </c>
    </row>
    <row r="6">
      <c r="A6" t="inlineStr">
        <is>
          <t>VAT-registered less than 12 months? (Yes/No)</t>
        </is>
      </c>
      <c r="B6" s="10" t="inlineStr">
        <is>
          <t>No</t>
        </is>
      </c>
    </row>
    <row r="7">
      <c r="A7" t="inlineStr">
        <is>
          <t>Spend on GOODS incl. VAT £ (not services, fuel, food for staff, capital items)</t>
        </is>
      </c>
      <c r="B7" s="3" t="n">
        <v>800</v>
      </c>
    </row>
    <row r="8">
      <c r="A8" t="inlineStr">
        <is>
          <t>VAT you can reclaim on purchases under standard accounting £</t>
        </is>
      </c>
      <c r="B8" s="3" t="n">
        <v>1500</v>
      </c>
    </row>
    <row r="9">
      <c r="A9" t="inlineStr"/>
    </row>
    <row r="10">
      <c r="A10" t="inlineStr">
        <is>
          <t>VAT-inclusive turnover £</t>
        </is>
      </c>
      <c r="B10" s="7">
        <f>B3*(1+B4)</f>
        <v/>
      </c>
    </row>
    <row r="11">
      <c r="A11" t="inlineStr">
        <is>
          <t>Limited cost trader? (goods &lt; 2% of VAT-incl. turnover or &lt; £1,000)</t>
        </is>
      </c>
      <c r="B11">
        <f>IF(B7&lt;MAX(B10*0.02,1000),"Yes","No")</f>
        <v/>
      </c>
    </row>
    <row r="12">
      <c r="A12" t="inlineStr">
        <is>
          <t>Flat rate that applies</t>
        </is>
      </c>
      <c r="B12" s="11">
        <f>IF(B11="Yes",0.165,B5)-IF(B6="Yes",0.01,0)</f>
        <v/>
      </c>
    </row>
    <row r="13">
      <c r="A13" t="inlineStr">
        <is>
          <t>VAT you pay HMRC on Flat Rate Scheme £</t>
        </is>
      </c>
      <c r="B13" s="7">
        <f>B10*B12</f>
        <v/>
      </c>
    </row>
    <row r="14">
      <c r="A14" t="inlineStr">
        <is>
          <t>VAT you pay HMRC on standard accounting £</t>
        </is>
      </c>
      <c r="B14" s="7">
        <f>B3*B4-B8</f>
        <v/>
      </c>
    </row>
    <row r="15">
      <c r="A15" s="6" t="inlineStr">
        <is>
          <t>Flat Rate Scheme saves you £ (negative = costs you)</t>
        </is>
      </c>
      <c r="B15" s="12">
        <f>B14-B13</f>
        <v/>
      </c>
    </row>
    <row r="16">
      <c r="A16" t="inlineStr">
        <is>
          <t>Can you join? (turnover excl. VAT expected ≤ £150,000)</t>
        </is>
      </c>
      <c r="B16">
        <f>IF(B3&lt;=150000,"Yes","No")</f>
        <v/>
      </c>
    </row>
    <row r="18">
      <c r="A18" s="13" t="inlineStr">
        <is>
          <t>Sector rates are listed at gov.uk/vat-flat-rate-scheme/how-much-you-pay. A planning aid, not tax advice. Check gov.uk/vat-registration and gov.uk/vat-flat-rate-scheme.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2026-09-25T18:58:55Z</dcterms:created>
  <dcterms:modified xsi:type="dcterms:W3CDTF">2026-09-25T18:58:55Z</dcterms:modified>
</cp:coreProperties>
</file>