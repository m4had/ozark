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ubcontractors" sheetId="2" state="visible" r:id="rId2"/>
    <sheet name="Payments" sheetId="3" state="visible" r:id="rId3"/>
    <sheet name="Monthly return" sheetId="4" state="visible" r:id="rId4"/>
    <sheet name="Statement" sheetId="5" state="visible" r:id="rId5"/>
    <sheet name="Deductions suffered" sheetId="6" state="visible" r:id="rId6"/>
    <sheet name="DRC invoice" sheetId="7" state="visible" r:id="rId7"/>
  </sheets>
  <definedNames/>
  <calcPr calcId="124519" fullCalcOnLoad="1"/>
</workbook>
</file>

<file path=xl/styles.xml><?xml version="1.0" encoding="utf-8"?>
<styleSheet xmlns="http://schemas.openxmlformats.org/spreadsheetml/2006/main">
  <numFmts count="2">
    <numFmt numFmtId="164" formatCode="dd/mm/yyyy"/>
    <numFmt numFmtId="165" formatCode="£#,##0.00"/>
  </numFmts>
  <fonts count="5">
    <font>
      <name val="Calibri"/>
      <family val="2"/>
      <color theme="1"/>
      <sz val="11"/>
      <scheme val="minor"/>
    </font>
    <font>
      <b val="1"/>
      <sz val="14"/>
    </font>
    <font>
      <i val="1"/>
      <color rgb="00C00000"/>
    </font>
    <font>
      <b val="1"/>
    </font>
    <font>
      <b val="1"/>
      <color rgb="00FFFFFF"/>
    </font>
  </fonts>
  <fills count="4">
    <fill>
      <patternFill/>
    </fill>
    <fill>
      <patternFill patternType="gray125"/>
    </fill>
    <fill>
      <patternFill patternType="solid">
        <fgColor rgb="007F3F00"/>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0" fillId="3" borderId="0" pivotButton="0" quotePrefix="0" xfId="0"/>
    <xf numFmtId="9" fontId="0" fillId="0" borderId="0" pivotButton="0" quotePrefix="0" xfId="0"/>
    <xf numFmtId="164" fontId="0" fillId="3" borderId="0" pivotButton="0" quotePrefix="0" xfId="0"/>
    <xf numFmtId="165" fontId="0" fillId="3" borderId="0" pivotButton="0" quotePrefix="0" xfId="0"/>
    <xf numFmtId="164" fontId="0" fillId="0" borderId="0" pivotButton="0" quotePrefix="0" xfId="0"/>
    <xf numFmtId="165" fontId="0" fillId="0" borderId="0" pivotButton="0" quotePrefix="0" xfId="0"/>
    <xf numFmtId="0" fontId="1" fillId="0" borderId="0" pivotButton="0" quotePrefix="0" xfId="0"/>
    <xf numFmtId="0" fontId="3" fillId="0" borderId="0" pivotButton="0" quotePrefix="0" xfId="0"/>
    <xf numFmtId="0" fontId="4" fillId="2" borderId="0" pivotButton="0" quotePrefix="0" xfId="0"/>
  </cellXfs>
  <cellStyles count="1">
    <cellStyle name="Normal" xfId="0" builtinId="0" hidden="0"/>
  </cellStyles>
  <dxfs count="1">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Construction Kit – CIS deductions tracker + reverse charge invoice</t>
        </is>
      </c>
    </row>
    <row r="2">
      <c r="A2" s="2" t="inlineStr">
        <is>
          <t>A record-keeping aid, not tax advice. Check gov.uk/what-is-the-construction-industry-scheme and HMRC's VAT reverse charge guidance.</t>
        </is>
      </c>
    </row>
    <row r="3">
      <c r="A3" s="3" t="inlineStr"/>
    </row>
    <row r="4">
      <c r="A4" s="4" t="inlineStr">
        <is>
          <t>For contractors (you pay subcontractors)</t>
        </is>
      </c>
    </row>
    <row r="5">
      <c r="A5" s="3" t="inlineStr">
        <is>
          <t>1. Subcontractors: add each one with their verification status: Gross (0%), Registered (20%) or Unregistered (30%).</t>
        </is>
      </c>
    </row>
    <row r="6">
      <c r="A6" s="3" t="inlineStr">
        <is>
          <t>2. Payments: one row per payment. Split labour from materials; deduction is worked out on labour only.</t>
        </is>
      </c>
    </row>
    <row r="7">
      <c r="A7" s="3" t="inlineStr">
        <is>
          <t>3. Monthly return: totals per tax month (6th to 5th). Return due by the 19th, payment by the 22nd (electronic).</t>
        </is>
      </c>
    </row>
    <row r="8">
      <c r="A8" s="3" t="inlineStr">
        <is>
          <t>4. Statement: give each subcontractor a statement within 14 days of the end of the tax month.</t>
        </is>
      </c>
    </row>
    <row r="9">
      <c r="A9" s="3" t="inlineStr"/>
    </row>
    <row r="10">
      <c r="A10" s="4" t="inlineStr">
        <is>
          <t>For subcontractors (deductions taken from you)</t>
        </is>
      </c>
    </row>
    <row r="11">
      <c r="A11" s="3" t="inlineStr">
        <is>
          <t>5. Deductions suffered: log what contractors deducted; claim it against your tax bill in Self Assessment (or via your company's payroll).</t>
        </is>
      </c>
    </row>
    <row r="12">
      <c r="A12" s="3" t="inlineStr"/>
    </row>
    <row r="13">
      <c r="A13" s="4" t="inlineStr">
        <is>
          <t>Reverse charge (VAT-registered subcontractors)</t>
        </is>
      </c>
    </row>
    <row r="14">
      <c r="A14" s="3" t="inlineStr">
        <is>
          <t>6. DRC invoice: for CIS services to a VAT- and CIS-registered customer who isn't the end user, don't charge VAT; the customer accounts for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22" customWidth="1" min="3" max="3"/>
    <col width="16" customWidth="1" min="4" max="4"/>
    <col width="8" customWidth="1" min="5" max="5"/>
  </cols>
  <sheetData>
    <row r="1">
      <c r="A1" s="5" t="inlineStr">
        <is>
          <t>Name</t>
        </is>
      </c>
      <c r="B1" s="5" t="inlineStr">
        <is>
          <t>UTR</t>
        </is>
      </c>
      <c r="C1" s="5" t="inlineStr">
        <is>
          <t>Verification number</t>
        </is>
      </c>
      <c r="D1" s="5" t="inlineStr">
        <is>
          <t>Status</t>
        </is>
      </c>
      <c r="E1" s="5" t="inlineStr">
        <is>
          <t>Rate</t>
        </is>
      </c>
    </row>
    <row r="2">
      <c r="A2" s="6" t="n"/>
      <c r="B2" s="6" t="n"/>
      <c r="C2" s="6" t="n"/>
      <c r="D2" s="6" t="n"/>
      <c r="E2" s="7">
        <f>IF(D2="Gross",0,IF(D2="Registered",0.2,IF(D2="Unregistered",0.3,"")))</f>
        <v/>
      </c>
    </row>
    <row r="3">
      <c r="A3" s="6" t="n"/>
      <c r="B3" s="6" t="n"/>
      <c r="C3" s="6" t="n"/>
      <c r="D3" s="6" t="n"/>
      <c r="E3" s="7">
        <f>IF(D3="Gross",0,IF(D3="Registered",0.2,IF(D3="Unregistered",0.3,"")))</f>
        <v/>
      </c>
    </row>
    <row r="4">
      <c r="A4" s="6" t="n"/>
      <c r="B4" s="6" t="n"/>
      <c r="C4" s="6" t="n"/>
      <c r="D4" s="6" t="n"/>
      <c r="E4" s="7">
        <f>IF(D4="Gross",0,IF(D4="Registered",0.2,IF(D4="Unregistered",0.3,"")))</f>
        <v/>
      </c>
    </row>
    <row r="5">
      <c r="A5" s="6" t="n"/>
      <c r="B5" s="6" t="n"/>
      <c r="C5" s="6" t="n"/>
      <c r="D5" s="6" t="n"/>
      <c r="E5" s="7">
        <f>IF(D5="Gross",0,IF(D5="Registered",0.2,IF(D5="Unregistered",0.3,"")))</f>
        <v/>
      </c>
    </row>
    <row r="6">
      <c r="A6" s="6" t="n"/>
      <c r="B6" s="6" t="n"/>
      <c r="C6" s="6" t="n"/>
      <c r="D6" s="6" t="n"/>
      <c r="E6" s="7">
        <f>IF(D6="Gross",0,IF(D6="Registered",0.2,IF(D6="Unregistered",0.3,"")))</f>
        <v/>
      </c>
    </row>
    <row r="7">
      <c r="A7" s="6" t="n"/>
      <c r="B7" s="6" t="n"/>
      <c r="C7" s="6" t="n"/>
      <c r="D7" s="6" t="n"/>
      <c r="E7" s="7">
        <f>IF(D7="Gross",0,IF(D7="Registered",0.2,IF(D7="Unregistered",0.3,"")))</f>
        <v/>
      </c>
    </row>
    <row r="8">
      <c r="A8" s="6" t="n"/>
      <c r="B8" s="6" t="n"/>
      <c r="C8" s="6" t="n"/>
      <c r="D8" s="6" t="n"/>
      <c r="E8" s="7">
        <f>IF(D8="Gross",0,IF(D8="Registered",0.2,IF(D8="Unregistered",0.3,"")))</f>
        <v/>
      </c>
    </row>
    <row r="9">
      <c r="A9" s="6" t="n"/>
      <c r="B9" s="6" t="n"/>
      <c r="C9" s="6" t="n"/>
      <c r="D9" s="6" t="n"/>
      <c r="E9" s="7">
        <f>IF(D9="Gross",0,IF(D9="Registered",0.2,IF(D9="Unregistered",0.3,"")))</f>
        <v/>
      </c>
    </row>
    <row r="10">
      <c r="A10" s="6" t="n"/>
      <c r="B10" s="6" t="n"/>
      <c r="C10" s="6" t="n"/>
      <c r="D10" s="6" t="n"/>
      <c r="E10" s="7">
        <f>IF(D10="Gross",0,IF(D10="Registered",0.2,IF(D10="Unregistered",0.3,"")))</f>
        <v/>
      </c>
    </row>
    <row r="11">
      <c r="A11" s="6" t="n"/>
      <c r="B11" s="6" t="n"/>
      <c r="C11" s="6" t="n"/>
      <c r="D11" s="6" t="n"/>
      <c r="E11" s="7">
        <f>IF(D11="Gross",0,IF(D11="Registered",0.2,IF(D11="Unregistered",0.3,"")))</f>
        <v/>
      </c>
    </row>
    <row r="12">
      <c r="A12" s="6" t="n"/>
      <c r="B12" s="6" t="n"/>
      <c r="C12" s="6" t="n"/>
      <c r="D12" s="6" t="n"/>
      <c r="E12" s="7">
        <f>IF(D12="Gross",0,IF(D12="Registered",0.2,IF(D12="Unregistered",0.3,"")))</f>
        <v/>
      </c>
    </row>
    <row r="13">
      <c r="A13" s="6" t="n"/>
      <c r="B13" s="6" t="n"/>
      <c r="C13" s="6" t="n"/>
      <c r="D13" s="6" t="n"/>
      <c r="E13" s="7">
        <f>IF(D13="Gross",0,IF(D13="Registered",0.2,IF(D13="Unregistered",0.3,"")))</f>
        <v/>
      </c>
    </row>
    <row r="14">
      <c r="A14" s="6" t="n"/>
      <c r="B14" s="6" t="n"/>
      <c r="C14" s="6" t="n"/>
      <c r="D14" s="6" t="n"/>
      <c r="E14" s="7">
        <f>IF(D14="Gross",0,IF(D14="Registered",0.2,IF(D14="Unregistered",0.3,"")))</f>
        <v/>
      </c>
    </row>
    <row r="15">
      <c r="A15" s="6" t="n"/>
      <c r="B15" s="6" t="n"/>
      <c r="C15" s="6" t="n"/>
      <c r="D15" s="6" t="n"/>
      <c r="E15" s="7">
        <f>IF(D15="Gross",0,IF(D15="Registered",0.2,IF(D15="Unregistered",0.3,"")))</f>
        <v/>
      </c>
    </row>
    <row r="16">
      <c r="A16" s="6" t="n"/>
      <c r="B16" s="6" t="n"/>
      <c r="C16" s="6" t="n"/>
      <c r="D16" s="6" t="n"/>
      <c r="E16" s="7">
        <f>IF(D16="Gross",0,IF(D16="Registered",0.2,IF(D16="Unregistered",0.3,"")))</f>
        <v/>
      </c>
    </row>
    <row r="17">
      <c r="A17" s="6" t="n"/>
      <c r="B17" s="6" t="n"/>
      <c r="C17" s="6" t="n"/>
      <c r="D17" s="6" t="n"/>
      <c r="E17" s="7">
        <f>IF(D17="Gross",0,IF(D17="Registered",0.2,IF(D17="Unregistered",0.3,"")))</f>
        <v/>
      </c>
    </row>
    <row r="18">
      <c r="A18" s="6" t="n"/>
      <c r="B18" s="6" t="n"/>
      <c r="C18" s="6" t="n"/>
      <c r="D18" s="6" t="n"/>
      <c r="E18" s="7">
        <f>IF(D18="Gross",0,IF(D18="Registered",0.2,IF(D18="Unregistered",0.3,"")))</f>
        <v/>
      </c>
    </row>
    <row r="19">
      <c r="A19" s="6" t="n"/>
      <c r="B19" s="6" t="n"/>
      <c r="C19" s="6" t="n"/>
      <c r="D19" s="6" t="n"/>
      <c r="E19" s="7">
        <f>IF(D19="Gross",0,IF(D19="Registered",0.2,IF(D19="Unregistered",0.3,"")))</f>
        <v/>
      </c>
    </row>
    <row r="20">
      <c r="A20" s="6" t="n"/>
      <c r="B20" s="6" t="n"/>
      <c r="C20" s="6" t="n"/>
      <c r="D20" s="6" t="n"/>
      <c r="E20" s="7">
        <f>IF(D20="Gross",0,IF(D20="Registered",0.2,IF(D20="Unregistered",0.3,"")))</f>
        <v/>
      </c>
    </row>
    <row r="21">
      <c r="A21" s="6" t="n"/>
      <c r="B21" s="6" t="n"/>
      <c r="C21" s="6" t="n"/>
      <c r="D21" s="6" t="n"/>
      <c r="E21" s="7">
        <f>IF(D21="Gross",0,IF(D21="Registered",0.2,IF(D21="Unregistered",0.3,"")))</f>
        <v/>
      </c>
    </row>
    <row r="22">
      <c r="A22" s="6" t="n"/>
      <c r="B22" s="6" t="n"/>
      <c r="C22" s="6" t="n"/>
      <c r="D22" s="6" t="n"/>
      <c r="E22" s="7">
        <f>IF(D22="Gross",0,IF(D22="Registered",0.2,IF(D22="Unregistered",0.3,"")))</f>
        <v/>
      </c>
    </row>
    <row r="23">
      <c r="A23" s="6" t="n"/>
      <c r="B23" s="6" t="n"/>
      <c r="C23" s="6" t="n"/>
      <c r="D23" s="6" t="n"/>
      <c r="E23" s="7">
        <f>IF(D23="Gross",0,IF(D23="Registered",0.2,IF(D23="Unregistered",0.3,"")))</f>
        <v/>
      </c>
    </row>
    <row r="24">
      <c r="A24" s="6" t="n"/>
      <c r="B24" s="6" t="n"/>
      <c r="C24" s="6" t="n"/>
      <c r="D24" s="6" t="n"/>
      <c r="E24" s="7">
        <f>IF(D24="Gross",0,IF(D24="Registered",0.2,IF(D24="Unregistered",0.3,"")))</f>
        <v/>
      </c>
    </row>
    <row r="25">
      <c r="A25" s="6" t="n"/>
      <c r="B25" s="6" t="n"/>
      <c r="C25" s="6" t="n"/>
      <c r="D25" s="6" t="n"/>
      <c r="E25" s="7">
        <f>IF(D25="Gross",0,IF(D25="Registered",0.2,IF(D25="Unregistered",0.3,"")))</f>
        <v/>
      </c>
    </row>
    <row r="26">
      <c r="A26" s="6" t="n"/>
      <c r="B26" s="6" t="n"/>
      <c r="C26" s="6" t="n"/>
      <c r="D26" s="6" t="n"/>
      <c r="E26" s="7">
        <f>IF(D26="Gross",0,IF(D26="Registered",0.2,IF(D26="Unregistered",0.3,"")))</f>
        <v/>
      </c>
    </row>
    <row r="27">
      <c r="A27" s="6" t="n"/>
      <c r="B27" s="6" t="n"/>
      <c r="C27" s="6" t="n"/>
      <c r="D27" s="6" t="n"/>
      <c r="E27" s="7">
        <f>IF(D27="Gross",0,IF(D27="Registered",0.2,IF(D27="Unregistered",0.3,"")))</f>
        <v/>
      </c>
    </row>
    <row r="28">
      <c r="A28" s="6" t="n"/>
      <c r="B28" s="6" t="n"/>
      <c r="C28" s="6" t="n"/>
      <c r="D28" s="6" t="n"/>
      <c r="E28" s="7">
        <f>IF(D28="Gross",0,IF(D28="Registered",0.2,IF(D28="Unregistered",0.3,"")))</f>
        <v/>
      </c>
    </row>
    <row r="29">
      <c r="A29" s="6" t="n"/>
      <c r="B29" s="6" t="n"/>
      <c r="C29" s="6" t="n"/>
      <c r="D29" s="6" t="n"/>
      <c r="E29" s="7">
        <f>IF(D29="Gross",0,IF(D29="Registered",0.2,IF(D29="Unregistered",0.3,"")))</f>
        <v/>
      </c>
    </row>
    <row r="30">
      <c r="A30" s="6" t="n"/>
      <c r="B30" s="6" t="n"/>
      <c r="C30" s="6" t="n"/>
      <c r="D30" s="6" t="n"/>
      <c r="E30" s="7">
        <f>IF(D30="Gross",0,IF(D30="Registered",0.2,IF(D30="Unregistered",0.3,"")))</f>
        <v/>
      </c>
    </row>
    <row r="31">
      <c r="A31" s="6" t="n"/>
      <c r="B31" s="6" t="n"/>
      <c r="C31" s="6" t="n"/>
      <c r="D31" s="6" t="n"/>
      <c r="E31" s="7">
        <f>IF(D31="Gross",0,IF(D31="Registered",0.2,IF(D31="Unregistered",0.3,"")))</f>
        <v/>
      </c>
    </row>
    <row r="32">
      <c r="A32" s="6" t="n"/>
      <c r="B32" s="6" t="n"/>
      <c r="C32" s="6" t="n"/>
      <c r="D32" s="6" t="n"/>
      <c r="E32" s="7">
        <f>IF(D32="Gross",0,IF(D32="Registered",0.2,IF(D32="Unregistered",0.3,"")))</f>
        <v/>
      </c>
    </row>
    <row r="33">
      <c r="A33" s="6" t="n"/>
      <c r="B33" s="6" t="n"/>
      <c r="C33" s="6" t="n"/>
      <c r="D33" s="6" t="n"/>
      <c r="E33" s="7">
        <f>IF(D33="Gross",0,IF(D33="Registered",0.2,IF(D33="Unregistered",0.3,"")))</f>
        <v/>
      </c>
    </row>
    <row r="34">
      <c r="A34" s="6" t="n"/>
      <c r="B34" s="6" t="n"/>
      <c r="C34" s="6" t="n"/>
      <c r="D34" s="6" t="n"/>
      <c r="E34" s="7">
        <f>IF(D34="Gross",0,IF(D34="Registered",0.2,IF(D34="Unregistered",0.3,"")))</f>
        <v/>
      </c>
    </row>
    <row r="35">
      <c r="A35" s="6" t="n"/>
      <c r="B35" s="6" t="n"/>
      <c r="C35" s="6" t="n"/>
      <c r="D35" s="6" t="n"/>
      <c r="E35" s="7">
        <f>IF(D35="Gross",0,IF(D35="Registered",0.2,IF(D35="Unregistered",0.3,"")))</f>
        <v/>
      </c>
    </row>
    <row r="36">
      <c r="A36" s="6" t="n"/>
      <c r="B36" s="6" t="n"/>
      <c r="C36" s="6" t="n"/>
      <c r="D36" s="6" t="n"/>
      <c r="E36" s="7">
        <f>IF(D36="Gross",0,IF(D36="Registered",0.2,IF(D36="Unregistered",0.3,"")))</f>
        <v/>
      </c>
    </row>
    <row r="37">
      <c r="A37" s="6" t="n"/>
      <c r="B37" s="6" t="n"/>
      <c r="C37" s="6" t="n"/>
      <c r="D37" s="6" t="n"/>
      <c r="E37" s="7">
        <f>IF(D37="Gross",0,IF(D37="Registered",0.2,IF(D37="Unregistered",0.3,"")))</f>
        <v/>
      </c>
    </row>
    <row r="38">
      <c r="A38" s="6" t="n"/>
      <c r="B38" s="6" t="n"/>
      <c r="C38" s="6" t="n"/>
      <c r="D38" s="6" t="n"/>
      <c r="E38" s="7">
        <f>IF(D38="Gross",0,IF(D38="Registered",0.2,IF(D38="Unregistered",0.3,"")))</f>
        <v/>
      </c>
    </row>
    <row r="39">
      <c r="A39" s="6" t="n"/>
      <c r="B39" s="6" t="n"/>
      <c r="C39" s="6" t="n"/>
      <c r="D39" s="6" t="n"/>
      <c r="E39" s="7">
        <f>IF(D39="Gross",0,IF(D39="Registered",0.2,IF(D39="Unregistered",0.3,"")))</f>
        <v/>
      </c>
    </row>
    <row r="40">
      <c r="A40" s="6" t="n"/>
      <c r="B40" s="6" t="n"/>
      <c r="C40" s="6" t="n"/>
      <c r="D40" s="6" t="n"/>
      <c r="E40" s="7">
        <f>IF(D40="Gross",0,IF(D40="Registered",0.2,IF(D40="Unregistered",0.3,"")))</f>
        <v/>
      </c>
    </row>
    <row r="41">
      <c r="A41" s="6" t="n"/>
      <c r="B41" s="6" t="n"/>
      <c r="C41" s="6" t="n"/>
      <c r="D41" s="6" t="n"/>
      <c r="E41" s="7">
        <f>IF(D41="Gross",0,IF(D41="Registered",0.2,IF(D41="Unregistered",0.3,"")))</f>
        <v/>
      </c>
    </row>
    <row r="42">
      <c r="A42" s="6" t="n"/>
      <c r="B42" s="6" t="n"/>
      <c r="C42" s="6" t="n"/>
      <c r="D42" s="6" t="n"/>
      <c r="E42" s="7">
        <f>IF(D42="Gross",0,IF(D42="Registered",0.2,IF(D42="Unregistered",0.3,"")))</f>
        <v/>
      </c>
    </row>
    <row r="43">
      <c r="A43" s="6" t="n"/>
      <c r="B43" s="6" t="n"/>
      <c r="C43" s="6" t="n"/>
      <c r="D43" s="6" t="n"/>
      <c r="E43" s="7">
        <f>IF(D43="Gross",0,IF(D43="Registered",0.2,IF(D43="Unregistered",0.3,"")))</f>
        <v/>
      </c>
    </row>
    <row r="44">
      <c r="A44" s="6" t="n"/>
      <c r="B44" s="6" t="n"/>
      <c r="C44" s="6" t="n"/>
      <c r="D44" s="6" t="n"/>
      <c r="E44" s="7">
        <f>IF(D44="Gross",0,IF(D44="Registered",0.2,IF(D44="Unregistered",0.3,"")))</f>
        <v/>
      </c>
    </row>
    <row r="45">
      <c r="A45" s="6" t="n"/>
      <c r="B45" s="6" t="n"/>
      <c r="C45" s="6" t="n"/>
      <c r="D45" s="6" t="n"/>
      <c r="E45" s="7">
        <f>IF(D45="Gross",0,IF(D45="Registered",0.2,IF(D45="Unregistered",0.3,"")))</f>
        <v/>
      </c>
    </row>
    <row r="46">
      <c r="A46" s="6" t="n"/>
      <c r="B46" s="6" t="n"/>
      <c r="C46" s="6" t="n"/>
      <c r="D46" s="6" t="n"/>
      <c r="E46" s="7">
        <f>IF(D46="Gross",0,IF(D46="Registered",0.2,IF(D46="Unregistered",0.3,"")))</f>
        <v/>
      </c>
    </row>
    <row r="47">
      <c r="A47" s="6" t="n"/>
      <c r="B47" s="6" t="n"/>
      <c r="C47" s="6" t="n"/>
      <c r="D47" s="6" t="n"/>
      <c r="E47" s="7">
        <f>IF(D47="Gross",0,IF(D47="Registered",0.2,IF(D47="Unregistered",0.3,"")))</f>
        <v/>
      </c>
    </row>
    <row r="48">
      <c r="A48" s="6" t="n"/>
      <c r="B48" s="6" t="n"/>
      <c r="C48" s="6" t="n"/>
      <c r="D48" s="6" t="n"/>
      <c r="E48" s="7">
        <f>IF(D48="Gross",0,IF(D48="Registered",0.2,IF(D48="Unregistered",0.3,"")))</f>
        <v/>
      </c>
    </row>
    <row r="49">
      <c r="A49" s="6" t="n"/>
      <c r="B49" s="6" t="n"/>
      <c r="C49" s="6" t="n"/>
      <c r="D49" s="6" t="n"/>
      <c r="E49" s="7">
        <f>IF(D49="Gross",0,IF(D49="Registered",0.2,IF(D49="Unregistered",0.3,"")))</f>
        <v/>
      </c>
    </row>
    <row r="50">
      <c r="A50" s="6" t="n"/>
      <c r="B50" s="6" t="n"/>
      <c r="C50" s="6" t="n"/>
      <c r="D50" s="6" t="n"/>
      <c r="E50" s="7">
        <f>IF(D50="Gross",0,IF(D50="Registered",0.2,IF(D50="Unregistered",0.3,"")))</f>
        <v/>
      </c>
    </row>
    <row r="51">
      <c r="A51" s="6" t="n"/>
      <c r="B51" s="6" t="n"/>
      <c r="C51" s="6" t="n"/>
      <c r="D51" s="6" t="n"/>
      <c r="E51" s="7">
        <f>IF(D51="Gross",0,IF(D51="Registered",0.2,IF(D51="Unregistered",0.3,"")))</f>
        <v/>
      </c>
    </row>
    <row r="52">
      <c r="A52" s="6" t="n"/>
      <c r="B52" s="6" t="n"/>
      <c r="C52" s="6" t="n"/>
      <c r="D52" s="6" t="n"/>
      <c r="E52" s="7">
        <f>IF(D52="Gross",0,IF(D52="Registered",0.2,IF(D52="Unregistered",0.3,"")))</f>
        <v/>
      </c>
    </row>
    <row r="53">
      <c r="A53" s="6" t="n"/>
      <c r="B53" s="6" t="n"/>
      <c r="C53" s="6" t="n"/>
      <c r="D53" s="6" t="n"/>
      <c r="E53" s="7">
        <f>IF(D53="Gross",0,IF(D53="Registered",0.2,IF(D53="Unregistered",0.3,"")))</f>
        <v/>
      </c>
    </row>
    <row r="54">
      <c r="A54" s="6" t="n"/>
      <c r="B54" s="6" t="n"/>
      <c r="C54" s="6" t="n"/>
      <c r="D54" s="6" t="n"/>
      <c r="E54" s="7">
        <f>IF(D54="Gross",0,IF(D54="Registered",0.2,IF(D54="Unregistered",0.3,"")))</f>
        <v/>
      </c>
    </row>
    <row r="55">
      <c r="A55" s="6" t="n"/>
      <c r="B55" s="6" t="n"/>
      <c r="C55" s="6" t="n"/>
      <c r="D55" s="6" t="n"/>
      <c r="E55" s="7">
        <f>IF(D55="Gross",0,IF(D55="Registered",0.2,IF(D55="Unregistered",0.3,"")))</f>
        <v/>
      </c>
    </row>
    <row r="56">
      <c r="A56" s="6" t="n"/>
      <c r="B56" s="6" t="n"/>
      <c r="C56" s="6" t="n"/>
      <c r="D56" s="6" t="n"/>
      <c r="E56" s="7">
        <f>IF(D56="Gross",0,IF(D56="Registered",0.2,IF(D56="Unregistered",0.3,"")))</f>
        <v/>
      </c>
    </row>
    <row r="57">
      <c r="A57" s="6" t="n"/>
      <c r="B57" s="6" t="n"/>
      <c r="C57" s="6" t="n"/>
      <c r="D57" s="6" t="n"/>
      <c r="E57" s="7">
        <f>IF(D57="Gross",0,IF(D57="Registered",0.2,IF(D57="Unregistered",0.3,"")))</f>
        <v/>
      </c>
    </row>
    <row r="58">
      <c r="A58" s="6" t="n"/>
      <c r="B58" s="6" t="n"/>
      <c r="C58" s="6" t="n"/>
      <c r="D58" s="6" t="n"/>
      <c r="E58" s="7">
        <f>IF(D58="Gross",0,IF(D58="Registered",0.2,IF(D58="Unregistered",0.3,"")))</f>
        <v/>
      </c>
    </row>
    <row r="59">
      <c r="A59" s="6" t="n"/>
      <c r="B59" s="6" t="n"/>
      <c r="C59" s="6" t="n"/>
      <c r="D59" s="6" t="n"/>
      <c r="E59" s="7">
        <f>IF(D59="Gross",0,IF(D59="Registered",0.2,IF(D59="Unregistered",0.3,"")))</f>
        <v/>
      </c>
    </row>
    <row r="60">
      <c r="A60" s="6" t="n"/>
      <c r="B60" s="6" t="n"/>
      <c r="C60" s="6" t="n"/>
      <c r="D60" s="6" t="n"/>
      <c r="E60" s="7">
        <f>IF(D60="Gross",0,IF(D60="Registered",0.2,IF(D60="Unregistered",0.3,"")))</f>
        <v/>
      </c>
    </row>
    <row r="61">
      <c r="A61" s="6" t="n"/>
      <c r="B61" s="6" t="n"/>
      <c r="C61" s="6" t="n"/>
      <c r="D61" s="6" t="n"/>
      <c r="E61" s="7">
        <f>IF(D61="Gross",0,IF(D61="Registered",0.2,IF(D61="Unregistered",0.3,"")))</f>
        <v/>
      </c>
    </row>
    <row r="62">
      <c r="A62" s="6" t="n"/>
      <c r="B62" s="6" t="n"/>
      <c r="C62" s="6" t="n"/>
      <c r="D62" s="6" t="n"/>
      <c r="E62" s="7">
        <f>IF(D62="Gross",0,IF(D62="Registered",0.2,IF(D62="Unregistered",0.3,"")))</f>
        <v/>
      </c>
    </row>
    <row r="63">
      <c r="A63" s="6" t="n"/>
      <c r="B63" s="6" t="n"/>
      <c r="C63" s="6" t="n"/>
      <c r="D63" s="6" t="n"/>
      <c r="E63" s="7">
        <f>IF(D63="Gross",0,IF(D63="Registered",0.2,IF(D63="Unregistered",0.3,"")))</f>
        <v/>
      </c>
    </row>
    <row r="64">
      <c r="A64" s="6" t="n"/>
      <c r="B64" s="6" t="n"/>
      <c r="C64" s="6" t="n"/>
      <c r="D64" s="6" t="n"/>
      <c r="E64" s="7">
        <f>IF(D64="Gross",0,IF(D64="Registered",0.2,IF(D64="Unregistered",0.3,"")))</f>
        <v/>
      </c>
    </row>
    <row r="65">
      <c r="A65" s="6" t="n"/>
      <c r="B65" s="6" t="n"/>
      <c r="C65" s="6" t="n"/>
      <c r="D65" s="6" t="n"/>
      <c r="E65" s="7">
        <f>IF(D65="Gross",0,IF(D65="Registered",0.2,IF(D65="Unregistered",0.3,"")))</f>
        <v/>
      </c>
    </row>
    <row r="66">
      <c r="A66" s="6" t="n"/>
      <c r="B66" s="6" t="n"/>
      <c r="C66" s="6" t="n"/>
      <c r="D66" s="6" t="n"/>
      <c r="E66" s="7">
        <f>IF(D66="Gross",0,IF(D66="Registered",0.2,IF(D66="Unregistered",0.3,"")))</f>
        <v/>
      </c>
    </row>
    <row r="67">
      <c r="A67" s="6" t="n"/>
      <c r="B67" s="6" t="n"/>
      <c r="C67" s="6" t="n"/>
      <c r="D67" s="6" t="n"/>
      <c r="E67" s="7">
        <f>IF(D67="Gross",0,IF(D67="Registered",0.2,IF(D67="Unregistered",0.3,"")))</f>
        <v/>
      </c>
    </row>
    <row r="68">
      <c r="A68" s="6" t="n"/>
      <c r="B68" s="6" t="n"/>
      <c r="C68" s="6" t="n"/>
      <c r="D68" s="6" t="n"/>
      <c r="E68" s="7">
        <f>IF(D68="Gross",0,IF(D68="Registered",0.2,IF(D68="Unregistered",0.3,"")))</f>
        <v/>
      </c>
    </row>
    <row r="69">
      <c r="A69" s="6" t="n"/>
      <c r="B69" s="6" t="n"/>
      <c r="C69" s="6" t="n"/>
      <c r="D69" s="6" t="n"/>
      <c r="E69" s="7">
        <f>IF(D69="Gross",0,IF(D69="Registered",0.2,IF(D69="Unregistered",0.3,"")))</f>
        <v/>
      </c>
    </row>
    <row r="70">
      <c r="A70" s="6" t="n"/>
      <c r="B70" s="6" t="n"/>
      <c r="C70" s="6" t="n"/>
      <c r="D70" s="6" t="n"/>
      <c r="E70" s="7">
        <f>IF(D70="Gross",0,IF(D70="Registered",0.2,IF(D70="Unregistered",0.3,"")))</f>
        <v/>
      </c>
    </row>
    <row r="71">
      <c r="A71" s="6" t="n"/>
      <c r="B71" s="6" t="n"/>
      <c r="C71" s="6" t="n"/>
      <c r="D71" s="6" t="n"/>
      <c r="E71" s="7">
        <f>IF(D71="Gross",0,IF(D71="Registered",0.2,IF(D71="Unregistered",0.3,"")))</f>
        <v/>
      </c>
    </row>
    <row r="72">
      <c r="A72" s="6" t="n"/>
      <c r="B72" s="6" t="n"/>
      <c r="C72" s="6" t="n"/>
      <c r="D72" s="6" t="n"/>
      <c r="E72" s="7">
        <f>IF(D72="Gross",0,IF(D72="Registered",0.2,IF(D72="Unregistered",0.3,"")))</f>
        <v/>
      </c>
    </row>
    <row r="73">
      <c r="A73" s="6" t="n"/>
      <c r="B73" s="6" t="n"/>
      <c r="C73" s="6" t="n"/>
      <c r="D73" s="6" t="n"/>
      <c r="E73" s="7">
        <f>IF(D73="Gross",0,IF(D73="Registered",0.2,IF(D73="Unregistered",0.3,"")))</f>
        <v/>
      </c>
    </row>
    <row r="74">
      <c r="A74" s="6" t="n"/>
      <c r="B74" s="6" t="n"/>
      <c r="C74" s="6" t="n"/>
      <c r="D74" s="6" t="n"/>
      <c r="E74" s="7">
        <f>IF(D74="Gross",0,IF(D74="Registered",0.2,IF(D74="Unregistered",0.3,"")))</f>
        <v/>
      </c>
    </row>
    <row r="75">
      <c r="A75" s="6" t="n"/>
      <c r="B75" s="6" t="n"/>
      <c r="C75" s="6" t="n"/>
      <c r="D75" s="6" t="n"/>
      <c r="E75" s="7">
        <f>IF(D75="Gross",0,IF(D75="Registered",0.2,IF(D75="Unregistered",0.3,"")))</f>
        <v/>
      </c>
    </row>
    <row r="76">
      <c r="A76" s="6" t="n"/>
      <c r="B76" s="6" t="n"/>
      <c r="C76" s="6" t="n"/>
      <c r="D76" s="6" t="n"/>
      <c r="E76" s="7">
        <f>IF(D76="Gross",0,IF(D76="Registered",0.2,IF(D76="Unregistered",0.3,"")))</f>
        <v/>
      </c>
    </row>
    <row r="77">
      <c r="A77" s="6" t="n"/>
      <c r="B77" s="6" t="n"/>
      <c r="C77" s="6" t="n"/>
      <c r="D77" s="6" t="n"/>
      <c r="E77" s="7">
        <f>IF(D77="Gross",0,IF(D77="Registered",0.2,IF(D77="Unregistered",0.3,"")))</f>
        <v/>
      </c>
    </row>
    <row r="78">
      <c r="A78" s="6" t="n"/>
      <c r="B78" s="6" t="n"/>
      <c r="C78" s="6" t="n"/>
      <c r="D78" s="6" t="n"/>
      <c r="E78" s="7">
        <f>IF(D78="Gross",0,IF(D78="Registered",0.2,IF(D78="Unregistered",0.3,"")))</f>
        <v/>
      </c>
    </row>
    <row r="79">
      <c r="A79" s="6" t="n"/>
      <c r="B79" s="6" t="n"/>
      <c r="C79" s="6" t="n"/>
      <c r="D79" s="6" t="n"/>
      <c r="E79" s="7">
        <f>IF(D79="Gross",0,IF(D79="Registered",0.2,IF(D79="Unregistered",0.3,"")))</f>
        <v/>
      </c>
    </row>
    <row r="80">
      <c r="A80" s="6" t="n"/>
      <c r="B80" s="6" t="n"/>
      <c r="C80" s="6" t="n"/>
      <c r="D80" s="6" t="n"/>
      <c r="E80" s="7">
        <f>IF(D80="Gross",0,IF(D80="Registered",0.2,IF(D80="Unregistered",0.3,"")))</f>
        <v/>
      </c>
    </row>
    <row r="81">
      <c r="A81" s="6" t="n"/>
      <c r="B81" s="6" t="n"/>
      <c r="C81" s="6" t="n"/>
      <c r="D81" s="6" t="n"/>
      <c r="E81" s="7">
        <f>IF(D81="Gross",0,IF(D81="Registered",0.2,IF(D81="Unregistered",0.3,"")))</f>
        <v/>
      </c>
    </row>
    <row r="82">
      <c r="A82" s="6" t="n"/>
      <c r="B82" s="6" t="n"/>
      <c r="C82" s="6" t="n"/>
      <c r="D82" s="6" t="n"/>
      <c r="E82" s="7">
        <f>IF(D82="Gross",0,IF(D82="Registered",0.2,IF(D82="Unregistered",0.3,"")))</f>
        <v/>
      </c>
    </row>
    <row r="83">
      <c r="A83" s="6" t="n"/>
      <c r="B83" s="6" t="n"/>
      <c r="C83" s="6" t="n"/>
      <c r="D83" s="6" t="n"/>
      <c r="E83" s="7">
        <f>IF(D83="Gross",0,IF(D83="Registered",0.2,IF(D83="Unregistered",0.3,"")))</f>
        <v/>
      </c>
    </row>
    <row r="84">
      <c r="A84" s="6" t="n"/>
      <c r="B84" s="6" t="n"/>
      <c r="C84" s="6" t="n"/>
      <c r="D84" s="6" t="n"/>
      <c r="E84" s="7">
        <f>IF(D84="Gross",0,IF(D84="Registered",0.2,IF(D84="Unregistered",0.3,"")))</f>
        <v/>
      </c>
    </row>
    <row r="85">
      <c r="A85" s="6" t="n"/>
      <c r="B85" s="6" t="n"/>
      <c r="C85" s="6" t="n"/>
      <c r="D85" s="6" t="n"/>
      <c r="E85" s="7">
        <f>IF(D85="Gross",0,IF(D85="Registered",0.2,IF(D85="Unregistered",0.3,"")))</f>
        <v/>
      </c>
    </row>
    <row r="86">
      <c r="A86" s="6" t="n"/>
      <c r="B86" s="6" t="n"/>
      <c r="C86" s="6" t="n"/>
      <c r="D86" s="6" t="n"/>
      <c r="E86" s="7">
        <f>IF(D86="Gross",0,IF(D86="Registered",0.2,IF(D86="Unregistered",0.3,"")))</f>
        <v/>
      </c>
    </row>
    <row r="87">
      <c r="A87" s="6" t="n"/>
      <c r="B87" s="6" t="n"/>
      <c r="C87" s="6" t="n"/>
      <c r="D87" s="6" t="n"/>
      <c r="E87" s="7">
        <f>IF(D87="Gross",0,IF(D87="Registered",0.2,IF(D87="Unregistered",0.3,"")))</f>
        <v/>
      </c>
    </row>
    <row r="88">
      <c r="A88" s="6" t="n"/>
      <c r="B88" s="6" t="n"/>
      <c r="C88" s="6" t="n"/>
      <c r="D88" s="6" t="n"/>
      <c r="E88" s="7">
        <f>IF(D88="Gross",0,IF(D88="Registered",0.2,IF(D88="Unregistered",0.3,"")))</f>
        <v/>
      </c>
    </row>
    <row r="89">
      <c r="A89" s="6" t="n"/>
      <c r="B89" s="6" t="n"/>
      <c r="C89" s="6" t="n"/>
      <c r="D89" s="6" t="n"/>
      <c r="E89" s="7">
        <f>IF(D89="Gross",0,IF(D89="Registered",0.2,IF(D89="Unregistered",0.3,"")))</f>
        <v/>
      </c>
    </row>
    <row r="90">
      <c r="A90" s="6" t="n"/>
      <c r="B90" s="6" t="n"/>
      <c r="C90" s="6" t="n"/>
      <c r="D90" s="6" t="n"/>
      <c r="E90" s="7">
        <f>IF(D90="Gross",0,IF(D90="Registered",0.2,IF(D90="Unregistered",0.3,"")))</f>
        <v/>
      </c>
    </row>
    <row r="91">
      <c r="A91" s="6" t="n"/>
      <c r="B91" s="6" t="n"/>
      <c r="C91" s="6" t="n"/>
      <c r="D91" s="6" t="n"/>
      <c r="E91" s="7">
        <f>IF(D91="Gross",0,IF(D91="Registered",0.2,IF(D91="Unregistered",0.3,"")))</f>
        <v/>
      </c>
    </row>
    <row r="92">
      <c r="A92" s="6" t="n"/>
      <c r="B92" s="6" t="n"/>
      <c r="C92" s="6" t="n"/>
      <c r="D92" s="6" t="n"/>
      <c r="E92" s="7">
        <f>IF(D92="Gross",0,IF(D92="Registered",0.2,IF(D92="Unregistered",0.3,"")))</f>
        <v/>
      </c>
    </row>
    <row r="93">
      <c r="A93" s="6" t="n"/>
      <c r="B93" s="6" t="n"/>
      <c r="C93" s="6" t="n"/>
      <c r="D93" s="6" t="n"/>
      <c r="E93" s="7">
        <f>IF(D93="Gross",0,IF(D93="Registered",0.2,IF(D93="Unregistered",0.3,"")))</f>
        <v/>
      </c>
    </row>
    <row r="94">
      <c r="A94" s="6" t="n"/>
      <c r="B94" s="6" t="n"/>
      <c r="C94" s="6" t="n"/>
      <c r="D94" s="6" t="n"/>
      <c r="E94" s="7">
        <f>IF(D94="Gross",0,IF(D94="Registered",0.2,IF(D94="Unregistered",0.3,"")))</f>
        <v/>
      </c>
    </row>
    <row r="95">
      <c r="A95" s="6" t="n"/>
      <c r="B95" s="6" t="n"/>
      <c r="C95" s="6" t="n"/>
      <c r="D95" s="6" t="n"/>
      <c r="E95" s="7">
        <f>IF(D95="Gross",0,IF(D95="Registered",0.2,IF(D95="Unregistered",0.3,"")))</f>
        <v/>
      </c>
    </row>
    <row r="96">
      <c r="A96" s="6" t="n"/>
      <c r="B96" s="6" t="n"/>
      <c r="C96" s="6" t="n"/>
      <c r="D96" s="6" t="n"/>
      <c r="E96" s="7">
        <f>IF(D96="Gross",0,IF(D96="Registered",0.2,IF(D96="Unregistered",0.3,"")))</f>
        <v/>
      </c>
    </row>
    <row r="97">
      <c r="A97" s="6" t="n"/>
      <c r="B97" s="6" t="n"/>
      <c r="C97" s="6" t="n"/>
      <c r="D97" s="6" t="n"/>
      <c r="E97" s="7">
        <f>IF(D97="Gross",0,IF(D97="Registered",0.2,IF(D97="Unregistered",0.3,"")))</f>
        <v/>
      </c>
    </row>
    <row r="98">
      <c r="A98" s="6" t="n"/>
      <c r="B98" s="6" t="n"/>
      <c r="C98" s="6" t="n"/>
      <c r="D98" s="6" t="n"/>
      <c r="E98" s="7">
        <f>IF(D98="Gross",0,IF(D98="Registered",0.2,IF(D98="Unregistered",0.3,"")))</f>
        <v/>
      </c>
    </row>
    <row r="99">
      <c r="A99" s="6" t="n"/>
      <c r="B99" s="6" t="n"/>
      <c r="C99" s="6" t="n"/>
      <c r="D99" s="6" t="n"/>
      <c r="E99" s="7">
        <f>IF(D99="Gross",0,IF(D99="Registered",0.2,IF(D99="Unregistered",0.3,"")))</f>
        <v/>
      </c>
    </row>
    <row r="100">
      <c r="A100" s="6" t="n"/>
      <c r="B100" s="6" t="n"/>
      <c r="C100" s="6" t="n"/>
      <c r="D100" s="6" t="n"/>
      <c r="E100" s="7">
        <f>IF(D100="Gross",0,IF(D100="Registered",0.2,IF(D100="Unregistered",0.3,"")))</f>
        <v/>
      </c>
    </row>
    <row r="101">
      <c r="A101" s="6" t="n"/>
      <c r="B101" s="6" t="n"/>
      <c r="C101" s="6" t="n"/>
      <c r="D101" s="6" t="n"/>
      <c r="E101" s="7">
        <f>IF(D101="Gross",0,IF(D101="Registered",0.2,IF(D101="Unregistered",0.3,"")))</f>
        <v/>
      </c>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showDropDown="0" showInputMessage="0" showErrorMessage="0" allowBlank="1" type="list">
      <formula1>"Gross,Registered,Unregistered"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12" customWidth="1" min="3" max="3"/>
    <col width="12" customWidth="1" min="4" max="4"/>
    <col width="10" customWidth="1" min="5" max="5"/>
    <col width="14" customWidth="1" min="6" max="6"/>
    <col width="7" customWidth="1" min="7" max="7"/>
    <col width="15" customWidth="1" min="8" max="8"/>
    <col width="17" customWidth="1" min="9" max="9"/>
  </cols>
  <sheetData>
    <row r="1">
      <c r="A1" s="5" t="inlineStr">
        <is>
          <t>Payment date</t>
        </is>
      </c>
      <c r="B1" s="5" t="inlineStr">
        <is>
          <t>Subcontractor</t>
        </is>
      </c>
      <c r="C1" s="5" t="inlineStr">
        <is>
          <t>Labour £</t>
        </is>
      </c>
      <c r="D1" s="5" t="inlineStr">
        <is>
          <t>Materials £</t>
        </is>
      </c>
      <c r="E1" s="5" t="inlineStr">
        <is>
          <t>VAT £</t>
        </is>
      </c>
      <c r="F1" s="5" t="inlineStr">
        <is>
          <t>Tax month ends</t>
        </is>
      </c>
      <c r="G1" s="5" t="inlineStr">
        <is>
          <t>Rate</t>
        </is>
      </c>
      <c r="H1" s="5" t="inlineStr">
        <is>
          <t>CIS deduction £</t>
        </is>
      </c>
      <c r="I1" s="5" t="inlineStr">
        <is>
          <t>Pay subcontractor £</t>
        </is>
      </c>
      <c r="K1" t="inlineStr">
        <is>
          <t>Unknown subcontractor → 30% until verified. Deduction is on labour only (not materials, VAT or CITB levy).</t>
        </is>
      </c>
    </row>
    <row r="2">
      <c r="A2" s="8" t="n"/>
      <c r="B2" s="6" t="n"/>
      <c r="C2" s="9" t="n"/>
      <c r="D2" s="9" t="n"/>
      <c r="E2" s="9" t="n"/>
      <c r="F2" s="10">
        <f>IF(A2="","",IF(DAY(A2)&lt;=5,DATE(YEAR(A2),MONTH(A2),5),DATE(YEAR(A2),MONTH(A2)+1,5)))</f>
        <v/>
      </c>
      <c r="G2" s="7">
        <f>IF(B2="","",IFERROR(INDEX(Subcontractors!$E$2:$E$101,MATCH(B2,Subcontractors!$A$2:$A$101,0)),0.3))</f>
        <v/>
      </c>
      <c r="H2" s="11">
        <f>IF(B2="","",ROUND(N(C2)*G2,2))</f>
        <v/>
      </c>
      <c r="I2" s="11">
        <f>IF(B2="","",N(C2)+N(D2)+N(E2)-H2)</f>
        <v/>
      </c>
    </row>
    <row r="3">
      <c r="A3" s="8" t="n"/>
      <c r="B3" s="6" t="n"/>
      <c r="C3" s="9" t="n"/>
      <c r="D3" s="9" t="n"/>
      <c r="E3" s="9" t="n"/>
      <c r="F3" s="10">
        <f>IF(A3="","",IF(DAY(A3)&lt;=5,DATE(YEAR(A3),MONTH(A3),5),DATE(YEAR(A3),MONTH(A3)+1,5)))</f>
        <v/>
      </c>
      <c r="G3" s="7">
        <f>IF(B3="","",IFERROR(INDEX(Subcontractors!$E$2:$E$101,MATCH(B3,Subcontractors!$A$2:$A$101,0)),0.3))</f>
        <v/>
      </c>
      <c r="H3" s="11">
        <f>IF(B3="","",ROUND(N(C3)*G3,2))</f>
        <v/>
      </c>
      <c r="I3" s="11">
        <f>IF(B3="","",N(C3)+N(D3)+N(E3)-H3)</f>
        <v/>
      </c>
    </row>
    <row r="4">
      <c r="A4" s="8" t="n"/>
      <c r="B4" s="6" t="n"/>
      <c r="C4" s="9" t="n"/>
      <c r="D4" s="9" t="n"/>
      <c r="E4" s="9" t="n"/>
      <c r="F4" s="10">
        <f>IF(A4="","",IF(DAY(A4)&lt;=5,DATE(YEAR(A4),MONTH(A4),5),DATE(YEAR(A4),MONTH(A4)+1,5)))</f>
        <v/>
      </c>
      <c r="G4" s="7">
        <f>IF(B4="","",IFERROR(INDEX(Subcontractors!$E$2:$E$101,MATCH(B4,Subcontractors!$A$2:$A$101,0)),0.3))</f>
        <v/>
      </c>
      <c r="H4" s="11">
        <f>IF(B4="","",ROUND(N(C4)*G4,2))</f>
        <v/>
      </c>
      <c r="I4" s="11">
        <f>IF(B4="","",N(C4)+N(D4)+N(E4)-H4)</f>
        <v/>
      </c>
    </row>
    <row r="5">
      <c r="A5" s="8" t="n"/>
      <c r="B5" s="6" t="n"/>
      <c r="C5" s="9" t="n"/>
      <c r="D5" s="9" t="n"/>
      <c r="E5" s="9" t="n"/>
      <c r="F5" s="10">
        <f>IF(A5="","",IF(DAY(A5)&lt;=5,DATE(YEAR(A5),MONTH(A5),5),DATE(YEAR(A5),MONTH(A5)+1,5)))</f>
        <v/>
      </c>
      <c r="G5" s="7">
        <f>IF(B5="","",IFERROR(INDEX(Subcontractors!$E$2:$E$101,MATCH(B5,Subcontractors!$A$2:$A$101,0)),0.3))</f>
        <v/>
      </c>
      <c r="H5" s="11">
        <f>IF(B5="","",ROUND(N(C5)*G5,2))</f>
        <v/>
      </c>
      <c r="I5" s="11">
        <f>IF(B5="","",N(C5)+N(D5)+N(E5)-H5)</f>
        <v/>
      </c>
    </row>
    <row r="6">
      <c r="A6" s="8" t="n"/>
      <c r="B6" s="6" t="n"/>
      <c r="C6" s="9" t="n"/>
      <c r="D6" s="9" t="n"/>
      <c r="E6" s="9" t="n"/>
      <c r="F6" s="10">
        <f>IF(A6="","",IF(DAY(A6)&lt;=5,DATE(YEAR(A6),MONTH(A6),5),DATE(YEAR(A6),MONTH(A6)+1,5)))</f>
        <v/>
      </c>
      <c r="G6" s="7">
        <f>IF(B6="","",IFERROR(INDEX(Subcontractors!$E$2:$E$101,MATCH(B6,Subcontractors!$A$2:$A$101,0)),0.3))</f>
        <v/>
      </c>
      <c r="H6" s="11">
        <f>IF(B6="","",ROUND(N(C6)*G6,2))</f>
        <v/>
      </c>
      <c r="I6" s="11">
        <f>IF(B6="","",N(C6)+N(D6)+N(E6)-H6)</f>
        <v/>
      </c>
    </row>
    <row r="7">
      <c r="A7" s="8" t="n"/>
      <c r="B7" s="6" t="n"/>
      <c r="C7" s="9" t="n"/>
      <c r="D7" s="9" t="n"/>
      <c r="E7" s="9" t="n"/>
      <c r="F7" s="10">
        <f>IF(A7="","",IF(DAY(A7)&lt;=5,DATE(YEAR(A7),MONTH(A7),5),DATE(YEAR(A7),MONTH(A7)+1,5)))</f>
        <v/>
      </c>
      <c r="G7" s="7">
        <f>IF(B7="","",IFERROR(INDEX(Subcontractors!$E$2:$E$101,MATCH(B7,Subcontractors!$A$2:$A$101,0)),0.3))</f>
        <v/>
      </c>
      <c r="H7" s="11">
        <f>IF(B7="","",ROUND(N(C7)*G7,2))</f>
        <v/>
      </c>
      <c r="I7" s="11">
        <f>IF(B7="","",N(C7)+N(D7)+N(E7)-H7)</f>
        <v/>
      </c>
    </row>
    <row r="8">
      <c r="A8" s="8" t="n"/>
      <c r="B8" s="6" t="n"/>
      <c r="C8" s="9" t="n"/>
      <c r="D8" s="9" t="n"/>
      <c r="E8" s="9" t="n"/>
      <c r="F8" s="10">
        <f>IF(A8="","",IF(DAY(A8)&lt;=5,DATE(YEAR(A8),MONTH(A8),5),DATE(YEAR(A8),MONTH(A8)+1,5)))</f>
        <v/>
      </c>
      <c r="G8" s="7">
        <f>IF(B8="","",IFERROR(INDEX(Subcontractors!$E$2:$E$101,MATCH(B8,Subcontractors!$A$2:$A$101,0)),0.3))</f>
        <v/>
      </c>
      <c r="H8" s="11">
        <f>IF(B8="","",ROUND(N(C8)*G8,2))</f>
        <v/>
      </c>
      <c r="I8" s="11">
        <f>IF(B8="","",N(C8)+N(D8)+N(E8)-H8)</f>
        <v/>
      </c>
    </row>
    <row r="9">
      <c r="A9" s="8" t="n"/>
      <c r="B9" s="6" t="n"/>
      <c r="C9" s="9" t="n"/>
      <c r="D9" s="9" t="n"/>
      <c r="E9" s="9" t="n"/>
      <c r="F9" s="10">
        <f>IF(A9="","",IF(DAY(A9)&lt;=5,DATE(YEAR(A9),MONTH(A9),5),DATE(YEAR(A9),MONTH(A9)+1,5)))</f>
        <v/>
      </c>
      <c r="G9" s="7">
        <f>IF(B9="","",IFERROR(INDEX(Subcontractors!$E$2:$E$101,MATCH(B9,Subcontractors!$A$2:$A$101,0)),0.3))</f>
        <v/>
      </c>
      <c r="H9" s="11">
        <f>IF(B9="","",ROUND(N(C9)*G9,2))</f>
        <v/>
      </c>
      <c r="I9" s="11">
        <f>IF(B9="","",N(C9)+N(D9)+N(E9)-H9)</f>
        <v/>
      </c>
    </row>
    <row r="10">
      <c r="A10" s="8" t="n"/>
      <c r="B10" s="6" t="n"/>
      <c r="C10" s="9" t="n"/>
      <c r="D10" s="9" t="n"/>
      <c r="E10" s="9" t="n"/>
      <c r="F10" s="10">
        <f>IF(A10="","",IF(DAY(A10)&lt;=5,DATE(YEAR(A10),MONTH(A10),5),DATE(YEAR(A10),MONTH(A10)+1,5)))</f>
        <v/>
      </c>
      <c r="G10" s="7">
        <f>IF(B10="","",IFERROR(INDEX(Subcontractors!$E$2:$E$101,MATCH(B10,Subcontractors!$A$2:$A$101,0)),0.3))</f>
        <v/>
      </c>
      <c r="H10" s="11">
        <f>IF(B10="","",ROUND(N(C10)*G10,2))</f>
        <v/>
      </c>
      <c r="I10" s="11">
        <f>IF(B10="","",N(C10)+N(D10)+N(E10)-H10)</f>
        <v/>
      </c>
    </row>
    <row r="11">
      <c r="A11" s="8" t="n"/>
      <c r="B11" s="6" t="n"/>
      <c r="C11" s="9" t="n"/>
      <c r="D11" s="9" t="n"/>
      <c r="E11" s="9" t="n"/>
      <c r="F11" s="10">
        <f>IF(A11="","",IF(DAY(A11)&lt;=5,DATE(YEAR(A11),MONTH(A11),5),DATE(YEAR(A11),MONTH(A11)+1,5)))</f>
        <v/>
      </c>
      <c r="G11" s="7">
        <f>IF(B11="","",IFERROR(INDEX(Subcontractors!$E$2:$E$101,MATCH(B11,Subcontractors!$A$2:$A$101,0)),0.3))</f>
        <v/>
      </c>
      <c r="H11" s="11">
        <f>IF(B11="","",ROUND(N(C11)*G11,2))</f>
        <v/>
      </c>
      <c r="I11" s="11">
        <f>IF(B11="","",N(C11)+N(D11)+N(E11)-H11)</f>
        <v/>
      </c>
    </row>
    <row r="12">
      <c r="A12" s="8" t="n"/>
      <c r="B12" s="6" t="n"/>
      <c r="C12" s="9" t="n"/>
      <c r="D12" s="9" t="n"/>
      <c r="E12" s="9" t="n"/>
      <c r="F12" s="10">
        <f>IF(A12="","",IF(DAY(A12)&lt;=5,DATE(YEAR(A12),MONTH(A12),5),DATE(YEAR(A12),MONTH(A12)+1,5)))</f>
        <v/>
      </c>
      <c r="G12" s="7">
        <f>IF(B12="","",IFERROR(INDEX(Subcontractors!$E$2:$E$101,MATCH(B12,Subcontractors!$A$2:$A$101,0)),0.3))</f>
        <v/>
      </c>
      <c r="H12" s="11">
        <f>IF(B12="","",ROUND(N(C12)*G12,2))</f>
        <v/>
      </c>
      <c r="I12" s="11">
        <f>IF(B12="","",N(C12)+N(D12)+N(E12)-H12)</f>
        <v/>
      </c>
    </row>
    <row r="13">
      <c r="A13" s="8" t="n"/>
      <c r="B13" s="6" t="n"/>
      <c r="C13" s="9" t="n"/>
      <c r="D13" s="9" t="n"/>
      <c r="E13" s="9" t="n"/>
      <c r="F13" s="10">
        <f>IF(A13="","",IF(DAY(A13)&lt;=5,DATE(YEAR(A13),MONTH(A13),5),DATE(YEAR(A13),MONTH(A13)+1,5)))</f>
        <v/>
      </c>
      <c r="G13" s="7">
        <f>IF(B13="","",IFERROR(INDEX(Subcontractors!$E$2:$E$101,MATCH(B13,Subcontractors!$A$2:$A$101,0)),0.3))</f>
        <v/>
      </c>
      <c r="H13" s="11">
        <f>IF(B13="","",ROUND(N(C13)*G13,2))</f>
        <v/>
      </c>
      <c r="I13" s="11">
        <f>IF(B13="","",N(C13)+N(D13)+N(E13)-H13)</f>
        <v/>
      </c>
    </row>
    <row r="14">
      <c r="A14" s="8" t="n"/>
      <c r="B14" s="6" t="n"/>
      <c r="C14" s="9" t="n"/>
      <c r="D14" s="9" t="n"/>
      <c r="E14" s="9" t="n"/>
      <c r="F14" s="10">
        <f>IF(A14="","",IF(DAY(A14)&lt;=5,DATE(YEAR(A14),MONTH(A14),5),DATE(YEAR(A14),MONTH(A14)+1,5)))</f>
        <v/>
      </c>
      <c r="G14" s="7">
        <f>IF(B14="","",IFERROR(INDEX(Subcontractors!$E$2:$E$101,MATCH(B14,Subcontractors!$A$2:$A$101,0)),0.3))</f>
        <v/>
      </c>
      <c r="H14" s="11">
        <f>IF(B14="","",ROUND(N(C14)*G14,2))</f>
        <v/>
      </c>
      <c r="I14" s="11">
        <f>IF(B14="","",N(C14)+N(D14)+N(E14)-H14)</f>
        <v/>
      </c>
    </row>
    <row r="15">
      <c r="A15" s="8" t="n"/>
      <c r="B15" s="6" t="n"/>
      <c r="C15" s="9" t="n"/>
      <c r="D15" s="9" t="n"/>
      <c r="E15" s="9" t="n"/>
      <c r="F15" s="10">
        <f>IF(A15="","",IF(DAY(A15)&lt;=5,DATE(YEAR(A15),MONTH(A15),5),DATE(YEAR(A15),MONTH(A15)+1,5)))</f>
        <v/>
      </c>
      <c r="G15" s="7">
        <f>IF(B15="","",IFERROR(INDEX(Subcontractors!$E$2:$E$101,MATCH(B15,Subcontractors!$A$2:$A$101,0)),0.3))</f>
        <v/>
      </c>
      <c r="H15" s="11">
        <f>IF(B15="","",ROUND(N(C15)*G15,2))</f>
        <v/>
      </c>
      <c r="I15" s="11">
        <f>IF(B15="","",N(C15)+N(D15)+N(E15)-H15)</f>
        <v/>
      </c>
    </row>
    <row r="16">
      <c r="A16" s="8" t="n"/>
      <c r="B16" s="6" t="n"/>
      <c r="C16" s="9" t="n"/>
      <c r="D16" s="9" t="n"/>
      <c r="E16" s="9" t="n"/>
      <c r="F16" s="10">
        <f>IF(A16="","",IF(DAY(A16)&lt;=5,DATE(YEAR(A16),MONTH(A16),5),DATE(YEAR(A16),MONTH(A16)+1,5)))</f>
        <v/>
      </c>
      <c r="G16" s="7">
        <f>IF(B16="","",IFERROR(INDEX(Subcontractors!$E$2:$E$101,MATCH(B16,Subcontractors!$A$2:$A$101,0)),0.3))</f>
        <v/>
      </c>
      <c r="H16" s="11">
        <f>IF(B16="","",ROUND(N(C16)*G16,2))</f>
        <v/>
      </c>
      <c r="I16" s="11">
        <f>IF(B16="","",N(C16)+N(D16)+N(E16)-H16)</f>
        <v/>
      </c>
    </row>
    <row r="17">
      <c r="A17" s="8" t="n"/>
      <c r="B17" s="6" t="n"/>
      <c r="C17" s="9" t="n"/>
      <c r="D17" s="9" t="n"/>
      <c r="E17" s="9" t="n"/>
      <c r="F17" s="10">
        <f>IF(A17="","",IF(DAY(A17)&lt;=5,DATE(YEAR(A17),MONTH(A17),5),DATE(YEAR(A17),MONTH(A17)+1,5)))</f>
        <v/>
      </c>
      <c r="G17" s="7">
        <f>IF(B17="","",IFERROR(INDEX(Subcontractors!$E$2:$E$101,MATCH(B17,Subcontractors!$A$2:$A$101,0)),0.3))</f>
        <v/>
      </c>
      <c r="H17" s="11">
        <f>IF(B17="","",ROUND(N(C17)*G17,2))</f>
        <v/>
      </c>
      <c r="I17" s="11">
        <f>IF(B17="","",N(C17)+N(D17)+N(E17)-H17)</f>
        <v/>
      </c>
    </row>
    <row r="18">
      <c r="A18" s="8" t="n"/>
      <c r="B18" s="6" t="n"/>
      <c r="C18" s="9" t="n"/>
      <c r="D18" s="9" t="n"/>
      <c r="E18" s="9" t="n"/>
      <c r="F18" s="10">
        <f>IF(A18="","",IF(DAY(A18)&lt;=5,DATE(YEAR(A18),MONTH(A18),5),DATE(YEAR(A18),MONTH(A18)+1,5)))</f>
        <v/>
      </c>
      <c r="G18" s="7">
        <f>IF(B18="","",IFERROR(INDEX(Subcontractors!$E$2:$E$101,MATCH(B18,Subcontractors!$A$2:$A$101,0)),0.3))</f>
        <v/>
      </c>
      <c r="H18" s="11">
        <f>IF(B18="","",ROUND(N(C18)*G18,2))</f>
        <v/>
      </c>
      <c r="I18" s="11">
        <f>IF(B18="","",N(C18)+N(D18)+N(E18)-H18)</f>
        <v/>
      </c>
    </row>
    <row r="19">
      <c r="A19" s="8" t="n"/>
      <c r="B19" s="6" t="n"/>
      <c r="C19" s="9" t="n"/>
      <c r="D19" s="9" t="n"/>
      <c r="E19" s="9" t="n"/>
      <c r="F19" s="10">
        <f>IF(A19="","",IF(DAY(A19)&lt;=5,DATE(YEAR(A19),MONTH(A19),5),DATE(YEAR(A19),MONTH(A19)+1,5)))</f>
        <v/>
      </c>
      <c r="G19" s="7">
        <f>IF(B19="","",IFERROR(INDEX(Subcontractors!$E$2:$E$101,MATCH(B19,Subcontractors!$A$2:$A$101,0)),0.3))</f>
        <v/>
      </c>
      <c r="H19" s="11">
        <f>IF(B19="","",ROUND(N(C19)*G19,2))</f>
        <v/>
      </c>
      <c r="I19" s="11">
        <f>IF(B19="","",N(C19)+N(D19)+N(E19)-H19)</f>
        <v/>
      </c>
    </row>
    <row r="20">
      <c r="A20" s="8" t="n"/>
      <c r="B20" s="6" t="n"/>
      <c r="C20" s="9" t="n"/>
      <c r="D20" s="9" t="n"/>
      <c r="E20" s="9" t="n"/>
      <c r="F20" s="10">
        <f>IF(A20="","",IF(DAY(A20)&lt;=5,DATE(YEAR(A20),MONTH(A20),5),DATE(YEAR(A20),MONTH(A20)+1,5)))</f>
        <v/>
      </c>
      <c r="G20" s="7">
        <f>IF(B20="","",IFERROR(INDEX(Subcontractors!$E$2:$E$101,MATCH(B20,Subcontractors!$A$2:$A$101,0)),0.3))</f>
        <v/>
      </c>
      <c r="H20" s="11">
        <f>IF(B20="","",ROUND(N(C20)*G20,2))</f>
        <v/>
      </c>
      <c r="I20" s="11">
        <f>IF(B20="","",N(C20)+N(D20)+N(E20)-H20)</f>
        <v/>
      </c>
    </row>
    <row r="21">
      <c r="A21" s="8" t="n"/>
      <c r="B21" s="6" t="n"/>
      <c r="C21" s="9" t="n"/>
      <c r="D21" s="9" t="n"/>
      <c r="E21" s="9" t="n"/>
      <c r="F21" s="10">
        <f>IF(A21="","",IF(DAY(A21)&lt;=5,DATE(YEAR(A21),MONTH(A21),5),DATE(YEAR(A21),MONTH(A21)+1,5)))</f>
        <v/>
      </c>
      <c r="G21" s="7">
        <f>IF(B21="","",IFERROR(INDEX(Subcontractors!$E$2:$E$101,MATCH(B21,Subcontractors!$A$2:$A$101,0)),0.3))</f>
        <v/>
      </c>
      <c r="H21" s="11">
        <f>IF(B21="","",ROUND(N(C21)*G21,2))</f>
        <v/>
      </c>
      <c r="I21" s="11">
        <f>IF(B21="","",N(C21)+N(D21)+N(E21)-H21)</f>
        <v/>
      </c>
    </row>
    <row r="22">
      <c r="A22" s="8" t="n"/>
      <c r="B22" s="6" t="n"/>
      <c r="C22" s="9" t="n"/>
      <c r="D22" s="9" t="n"/>
      <c r="E22" s="9" t="n"/>
      <c r="F22" s="10">
        <f>IF(A22="","",IF(DAY(A22)&lt;=5,DATE(YEAR(A22),MONTH(A22),5),DATE(YEAR(A22),MONTH(A22)+1,5)))</f>
        <v/>
      </c>
      <c r="G22" s="7">
        <f>IF(B22="","",IFERROR(INDEX(Subcontractors!$E$2:$E$101,MATCH(B22,Subcontractors!$A$2:$A$101,0)),0.3))</f>
        <v/>
      </c>
      <c r="H22" s="11">
        <f>IF(B22="","",ROUND(N(C22)*G22,2))</f>
        <v/>
      </c>
      <c r="I22" s="11">
        <f>IF(B22="","",N(C22)+N(D22)+N(E22)-H22)</f>
        <v/>
      </c>
    </row>
    <row r="23">
      <c r="A23" s="8" t="n"/>
      <c r="B23" s="6" t="n"/>
      <c r="C23" s="9" t="n"/>
      <c r="D23" s="9" t="n"/>
      <c r="E23" s="9" t="n"/>
      <c r="F23" s="10">
        <f>IF(A23="","",IF(DAY(A23)&lt;=5,DATE(YEAR(A23),MONTH(A23),5),DATE(YEAR(A23),MONTH(A23)+1,5)))</f>
        <v/>
      </c>
      <c r="G23" s="7">
        <f>IF(B23="","",IFERROR(INDEX(Subcontractors!$E$2:$E$101,MATCH(B23,Subcontractors!$A$2:$A$101,0)),0.3))</f>
        <v/>
      </c>
      <c r="H23" s="11">
        <f>IF(B23="","",ROUND(N(C23)*G23,2))</f>
        <v/>
      </c>
      <c r="I23" s="11">
        <f>IF(B23="","",N(C23)+N(D23)+N(E23)-H23)</f>
        <v/>
      </c>
    </row>
    <row r="24">
      <c r="A24" s="8" t="n"/>
      <c r="B24" s="6" t="n"/>
      <c r="C24" s="9" t="n"/>
      <c r="D24" s="9" t="n"/>
      <c r="E24" s="9" t="n"/>
      <c r="F24" s="10">
        <f>IF(A24="","",IF(DAY(A24)&lt;=5,DATE(YEAR(A24),MONTH(A24),5),DATE(YEAR(A24),MONTH(A24)+1,5)))</f>
        <v/>
      </c>
      <c r="G24" s="7">
        <f>IF(B24="","",IFERROR(INDEX(Subcontractors!$E$2:$E$101,MATCH(B24,Subcontractors!$A$2:$A$101,0)),0.3))</f>
        <v/>
      </c>
      <c r="H24" s="11">
        <f>IF(B24="","",ROUND(N(C24)*G24,2))</f>
        <v/>
      </c>
      <c r="I24" s="11">
        <f>IF(B24="","",N(C24)+N(D24)+N(E24)-H24)</f>
        <v/>
      </c>
    </row>
    <row r="25">
      <c r="A25" s="8" t="n"/>
      <c r="B25" s="6" t="n"/>
      <c r="C25" s="9" t="n"/>
      <c r="D25" s="9" t="n"/>
      <c r="E25" s="9" t="n"/>
      <c r="F25" s="10">
        <f>IF(A25="","",IF(DAY(A25)&lt;=5,DATE(YEAR(A25),MONTH(A25),5),DATE(YEAR(A25),MONTH(A25)+1,5)))</f>
        <v/>
      </c>
      <c r="G25" s="7">
        <f>IF(B25="","",IFERROR(INDEX(Subcontractors!$E$2:$E$101,MATCH(B25,Subcontractors!$A$2:$A$101,0)),0.3))</f>
        <v/>
      </c>
      <c r="H25" s="11">
        <f>IF(B25="","",ROUND(N(C25)*G25,2))</f>
        <v/>
      </c>
      <c r="I25" s="11">
        <f>IF(B25="","",N(C25)+N(D25)+N(E25)-H25)</f>
        <v/>
      </c>
    </row>
    <row r="26">
      <c r="A26" s="8" t="n"/>
      <c r="B26" s="6" t="n"/>
      <c r="C26" s="9" t="n"/>
      <c r="D26" s="9" t="n"/>
      <c r="E26" s="9" t="n"/>
      <c r="F26" s="10">
        <f>IF(A26="","",IF(DAY(A26)&lt;=5,DATE(YEAR(A26),MONTH(A26),5),DATE(YEAR(A26),MONTH(A26)+1,5)))</f>
        <v/>
      </c>
      <c r="G26" s="7">
        <f>IF(B26="","",IFERROR(INDEX(Subcontractors!$E$2:$E$101,MATCH(B26,Subcontractors!$A$2:$A$101,0)),0.3))</f>
        <v/>
      </c>
      <c r="H26" s="11">
        <f>IF(B26="","",ROUND(N(C26)*G26,2))</f>
        <v/>
      </c>
      <c r="I26" s="11">
        <f>IF(B26="","",N(C26)+N(D26)+N(E26)-H26)</f>
        <v/>
      </c>
    </row>
    <row r="27">
      <c r="A27" s="8" t="n"/>
      <c r="B27" s="6" t="n"/>
      <c r="C27" s="9" t="n"/>
      <c r="D27" s="9" t="n"/>
      <c r="E27" s="9" t="n"/>
      <c r="F27" s="10">
        <f>IF(A27="","",IF(DAY(A27)&lt;=5,DATE(YEAR(A27),MONTH(A27),5),DATE(YEAR(A27),MONTH(A27)+1,5)))</f>
        <v/>
      </c>
      <c r="G27" s="7">
        <f>IF(B27="","",IFERROR(INDEX(Subcontractors!$E$2:$E$101,MATCH(B27,Subcontractors!$A$2:$A$101,0)),0.3))</f>
        <v/>
      </c>
      <c r="H27" s="11">
        <f>IF(B27="","",ROUND(N(C27)*G27,2))</f>
        <v/>
      </c>
      <c r="I27" s="11">
        <f>IF(B27="","",N(C27)+N(D27)+N(E27)-H27)</f>
        <v/>
      </c>
    </row>
    <row r="28">
      <c r="A28" s="8" t="n"/>
      <c r="B28" s="6" t="n"/>
      <c r="C28" s="9" t="n"/>
      <c r="D28" s="9" t="n"/>
      <c r="E28" s="9" t="n"/>
      <c r="F28" s="10">
        <f>IF(A28="","",IF(DAY(A28)&lt;=5,DATE(YEAR(A28),MONTH(A28),5),DATE(YEAR(A28),MONTH(A28)+1,5)))</f>
        <v/>
      </c>
      <c r="G28" s="7">
        <f>IF(B28="","",IFERROR(INDEX(Subcontractors!$E$2:$E$101,MATCH(B28,Subcontractors!$A$2:$A$101,0)),0.3))</f>
        <v/>
      </c>
      <c r="H28" s="11">
        <f>IF(B28="","",ROUND(N(C28)*G28,2))</f>
        <v/>
      </c>
      <c r="I28" s="11">
        <f>IF(B28="","",N(C28)+N(D28)+N(E28)-H28)</f>
        <v/>
      </c>
    </row>
    <row r="29">
      <c r="A29" s="8" t="n"/>
      <c r="B29" s="6" t="n"/>
      <c r="C29" s="9" t="n"/>
      <c r="D29" s="9" t="n"/>
      <c r="E29" s="9" t="n"/>
      <c r="F29" s="10">
        <f>IF(A29="","",IF(DAY(A29)&lt;=5,DATE(YEAR(A29),MONTH(A29),5),DATE(YEAR(A29),MONTH(A29)+1,5)))</f>
        <v/>
      </c>
      <c r="G29" s="7">
        <f>IF(B29="","",IFERROR(INDEX(Subcontractors!$E$2:$E$101,MATCH(B29,Subcontractors!$A$2:$A$101,0)),0.3))</f>
        <v/>
      </c>
      <c r="H29" s="11">
        <f>IF(B29="","",ROUND(N(C29)*G29,2))</f>
        <v/>
      </c>
      <c r="I29" s="11">
        <f>IF(B29="","",N(C29)+N(D29)+N(E29)-H29)</f>
        <v/>
      </c>
    </row>
    <row r="30">
      <c r="A30" s="8" t="n"/>
      <c r="B30" s="6" t="n"/>
      <c r="C30" s="9" t="n"/>
      <c r="D30" s="9" t="n"/>
      <c r="E30" s="9" t="n"/>
      <c r="F30" s="10">
        <f>IF(A30="","",IF(DAY(A30)&lt;=5,DATE(YEAR(A30),MONTH(A30),5),DATE(YEAR(A30),MONTH(A30)+1,5)))</f>
        <v/>
      </c>
      <c r="G30" s="7">
        <f>IF(B30="","",IFERROR(INDEX(Subcontractors!$E$2:$E$101,MATCH(B30,Subcontractors!$A$2:$A$101,0)),0.3))</f>
        <v/>
      </c>
      <c r="H30" s="11">
        <f>IF(B30="","",ROUND(N(C30)*G30,2))</f>
        <v/>
      </c>
      <c r="I30" s="11">
        <f>IF(B30="","",N(C30)+N(D30)+N(E30)-H30)</f>
        <v/>
      </c>
    </row>
    <row r="31">
      <c r="A31" s="8" t="n"/>
      <c r="B31" s="6" t="n"/>
      <c r="C31" s="9" t="n"/>
      <c r="D31" s="9" t="n"/>
      <c r="E31" s="9" t="n"/>
      <c r="F31" s="10">
        <f>IF(A31="","",IF(DAY(A31)&lt;=5,DATE(YEAR(A31),MONTH(A31),5),DATE(YEAR(A31),MONTH(A31)+1,5)))</f>
        <v/>
      </c>
      <c r="G31" s="7">
        <f>IF(B31="","",IFERROR(INDEX(Subcontractors!$E$2:$E$101,MATCH(B31,Subcontractors!$A$2:$A$101,0)),0.3))</f>
        <v/>
      </c>
      <c r="H31" s="11">
        <f>IF(B31="","",ROUND(N(C31)*G31,2))</f>
        <v/>
      </c>
      <c r="I31" s="11">
        <f>IF(B31="","",N(C31)+N(D31)+N(E31)-H31)</f>
        <v/>
      </c>
    </row>
    <row r="32">
      <c r="A32" s="8" t="n"/>
      <c r="B32" s="6" t="n"/>
      <c r="C32" s="9" t="n"/>
      <c r="D32" s="9" t="n"/>
      <c r="E32" s="9" t="n"/>
      <c r="F32" s="10">
        <f>IF(A32="","",IF(DAY(A32)&lt;=5,DATE(YEAR(A32),MONTH(A32),5),DATE(YEAR(A32),MONTH(A32)+1,5)))</f>
        <v/>
      </c>
      <c r="G32" s="7">
        <f>IF(B32="","",IFERROR(INDEX(Subcontractors!$E$2:$E$101,MATCH(B32,Subcontractors!$A$2:$A$101,0)),0.3))</f>
        <v/>
      </c>
      <c r="H32" s="11">
        <f>IF(B32="","",ROUND(N(C32)*G32,2))</f>
        <v/>
      </c>
      <c r="I32" s="11">
        <f>IF(B32="","",N(C32)+N(D32)+N(E32)-H32)</f>
        <v/>
      </c>
    </row>
    <row r="33">
      <c r="A33" s="8" t="n"/>
      <c r="B33" s="6" t="n"/>
      <c r="C33" s="9" t="n"/>
      <c r="D33" s="9" t="n"/>
      <c r="E33" s="9" t="n"/>
      <c r="F33" s="10">
        <f>IF(A33="","",IF(DAY(A33)&lt;=5,DATE(YEAR(A33),MONTH(A33),5),DATE(YEAR(A33),MONTH(A33)+1,5)))</f>
        <v/>
      </c>
      <c r="G33" s="7">
        <f>IF(B33="","",IFERROR(INDEX(Subcontractors!$E$2:$E$101,MATCH(B33,Subcontractors!$A$2:$A$101,0)),0.3))</f>
        <v/>
      </c>
      <c r="H33" s="11">
        <f>IF(B33="","",ROUND(N(C33)*G33,2))</f>
        <v/>
      </c>
      <c r="I33" s="11">
        <f>IF(B33="","",N(C33)+N(D33)+N(E33)-H33)</f>
        <v/>
      </c>
    </row>
    <row r="34">
      <c r="A34" s="8" t="n"/>
      <c r="B34" s="6" t="n"/>
      <c r="C34" s="9" t="n"/>
      <c r="D34" s="9" t="n"/>
      <c r="E34" s="9" t="n"/>
      <c r="F34" s="10">
        <f>IF(A34="","",IF(DAY(A34)&lt;=5,DATE(YEAR(A34),MONTH(A34),5),DATE(YEAR(A34),MONTH(A34)+1,5)))</f>
        <v/>
      </c>
      <c r="G34" s="7">
        <f>IF(B34="","",IFERROR(INDEX(Subcontractors!$E$2:$E$101,MATCH(B34,Subcontractors!$A$2:$A$101,0)),0.3))</f>
        <v/>
      </c>
      <c r="H34" s="11">
        <f>IF(B34="","",ROUND(N(C34)*G34,2))</f>
        <v/>
      </c>
      <c r="I34" s="11">
        <f>IF(B34="","",N(C34)+N(D34)+N(E34)-H34)</f>
        <v/>
      </c>
    </row>
    <row r="35">
      <c r="A35" s="8" t="n"/>
      <c r="B35" s="6" t="n"/>
      <c r="C35" s="9" t="n"/>
      <c r="D35" s="9" t="n"/>
      <c r="E35" s="9" t="n"/>
      <c r="F35" s="10">
        <f>IF(A35="","",IF(DAY(A35)&lt;=5,DATE(YEAR(A35),MONTH(A35),5),DATE(YEAR(A35),MONTH(A35)+1,5)))</f>
        <v/>
      </c>
      <c r="G35" s="7">
        <f>IF(B35="","",IFERROR(INDEX(Subcontractors!$E$2:$E$101,MATCH(B35,Subcontractors!$A$2:$A$101,0)),0.3))</f>
        <v/>
      </c>
      <c r="H35" s="11">
        <f>IF(B35="","",ROUND(N(C35)*G35,2))</f>
        <v/>
      </c>
      <c r="I35" s="11">
        <f>IF(B35="","",N(C35)+N(D35)+N(E35)-H35)</f>
        <v/>
      </c>
    </row>
    <row r="36">
      <c r="A36" s="8" t="n"/>
      <c r="B36" s="6" t="n"/>
      <c r="C36" s="9" t="n"/>
      <c r="D36" s="9" t="n"/>
      <c r="E36" s="9" t="n"/>
      <c r="F36" s="10">
        <f>IF(A36="","",IF(DAY(A36)&lt;=5,DATE(YEAR(A36),MONTH(A36),5),DATE(YEAR(A36),MONTH(A36)+1,5)))</f>
        <v/>
      </c>
      <c r="G36" s="7">
        <f>IF(B36="","",IFERROR(INDEX(Subcontractors!$E$2:$E$101,MATCH(B36,Subcontractors!$A$2:$A$101,0)),0.3))</f>
        <v/>
      </c>
      <c r="H36" s="11">
        <f>IF(B36="","",ROUND(N(C36)*G36,2))</f>
        <v/>
      </c>
      <c r="I36" s="11">
        <f>IF(B36="","",N(C36)+N(D36)+N(E36)-H36)</f>
        <v/>
      </c>
    </row>
    <row r="37">
      <c r="A37" s="8" t="n"/>
      <c r="B37" s="6" t="n"/>
      <c r="C37" s="9" t="n"/>
      <c r="D37" s="9" t="n"/>
      <c r="E37" s="9" t="n"/>
      <c r="F37" s="10">
        <f>IF(A37="","",IF(DAY(A37)&lt;=5,DATE(YEAR(A37),MONTH(A37),5),DATE(YEAR(A37),MONTH(A37)+1,5)))</f>
        <v/>
      </c>
      <c r="G37" s="7">
        <f>IF(B37="","",IFERROR(INDEX(Subcontractors!$E$2:$E$101,MATCH(B37,Subcontractors!$A$2:$A$101,0)),0.3))</f>
        <v/>
      </c>
      <c r="H37" s="11">
        <f>IF(B37="","",ROUND(N(C37)*G37,2))</f>
        <v/>
      </c>
      <c r="I37" s="11">
        <f>IF(B37="","",N(C37)+N(D37)+N(E37)-H37)</f>
        <v/>
      </c>
    </row>
    <row r="38">
      <c r="A38" s="8" t="n"/>
      <c r="B38" s="6" t="n"/>
      <c r="C38" s="9" t="n"/>
      <c r="D38" s="9" t="n"/>
      <c r="E38" s="9" t="n"/>
      <c r="F38" s="10">
        <f>IF(A38="","",IF(DAY(A38)&lt;=5,DATE(YEAR(A38),MONTH(A38),5),DATE(YEAR(A38),MONTH(A38)+1,5)))</f>
        <v/>
      </c>
      <c r="G38" s="7">
        <f>IF(B38="","",IFERROR(INDEX(Subcontractors!$E$2:$E$101,MATCH(B38,Subcontractors!$A$2:$A$101,0)),0.3))</f>
        <v/>
      </c>
      <c r="H38" s="11">
        <f>IF(B38="","",ROUND(N(C38)*G38,2))</f>
        <v/>
      </c>
      <c r="I38" s="11">
        <f>IF(B38="","",N(C38)+N(D38)+N(E38)-H38)</f>
        <v/>
      </c>
    </row>
    <row r="39">
      <c r="A39" s="8" t="n"/>
      <c r="B39" s="6" t="n"/>
      <c r="C39" s="9" t="n"/>
      <c r="D39" s="9" t="n"/>
      <c r="E39" s="9" t="n"/>
      <c r="F39" s="10">
        <f>IF(A39="","",IF(DAY(A39)&lt;=5,DATE(YEAR(A39),MONTH(A39),5),DATE(YEAR(A39),MONTH(A39)+1,5)))</f>
        <v/>
      </c>
      <c r="G39" s="7">
        <f>IF(B39="","",IFERROR(INDEX(Subcontractors!$E$2:$E$101,MATCH(B39,Subcontractors!$A$2:$A$101,0)),0.3))</f>
        <v/>
      </c>
      <c r="H39" s="11">
        <f>IF(B39="","",ROUND(N(C39)*G39,2))</f>
        <v/>
      </c>
      <c r="I39" s="11">
        <f>IF(B39="","",N(C39)+N(D39)+N(E39)-H39)</f>
        <v/>
      </c>
    </row>
    <row r="40">
      <c r="A40" s="8" t="n"/>
      <c r="B40" s="6" t="n"/>
      <c r="C40" s="9" t="n"/>
      <c r="D40" s="9" t="n"/>
      <c r="E40" s="9" t="n"/>
      <c r="F40" s="10">
        <f>IF(A40="","",IF(DAY(A40)&lt;=5,DATE(YEAR(A40),MONTH(A40),5),DATE(YEAR(A40),MONTH(A40)+1,5)))</f>
        <v/>
      </c>
      <c r="G40" s="7">
        <f>IF(B40="","",IFERROR(INDEX(Subcontractors!$E$2:$E$101,MATCH(B40,Subcontractors!$A$2:$A$101,0)),0.3))</f>
        <v/>
      </c>
      <c r="H40" s="11">
        <f>IF(B40="","",ROUND(N(C40)*G40,2))</f>
        <v/>
      </c>
      <c r="I40" s="11">
        <f>IF(B40="","",N(C40)+N(D40)+N(E40)-H40)</f>
        <v/>
      </c>
    </row>
    <row r="41">
      <c r="A41" s="8" t="n"/>
      <c r="B41" s="6" t="n"/>
      <c r="C41" s="9" t="n"/>
      <c r="D41" s="9" t="n"/>
      <c r="E41" s="9" t="n"/>
      <c r="F41" s="10">
        <f>IF(A41="","",IF(DAY(A41)&lt;=5,DATE(YEAR(A41),MONTH(A41),5),DATE(YEAR(A41),MONTH(A41)+1,5)))</f>
        <v/>
      </c>
      <c r="G41" s="7">
        <f>IF(B41="","",IFERROR(INDEX(Subcontractors!$E$2:$E$101,MATCH(B41,Subcontractors!$A$2:$A$101,0)),0.3))</f>
        <v/>
      </c>
      <c r="H41" s="11">
        <f>IF(B41="","",ROUND(N(C41)*G41,2))</f>
        <v/>
      </c>
      <c r="I41" s="11">
        <f>IF(B41="","",N(C41)+N(D41)+N(E41)-H41)</f>
        <v/>
      </c>
    </row>
    <row r="42">
      <c r="A42" s="8" t="n"/>
      <c r="B42" s="6" t="n"/>
      <c r="C42" s="9" t="n"/>
      <c r="D42" s="9" t="n"/>
      <c r="E42" s="9" t="n"/>
      <c r="F42" s="10">
        <f>IF(A42="","",IF(DAY(A42)&lt;=5,DATE(YEAR(A42),MONTH(A42),5),DATE(YEAR(A42),MONTH(A42)+1,5)))</f>
        <v/>
      </c>
      <c r="G42" s="7">
        <f>IF(B42="","",IFERROR(INDEX(Subcontractors!$E$2:$E$101,MATCH(B42,Subcontractors!$A$2:$A$101,0)),0.3))</f>
        <v/>
      </c>
      <c r="H42" s="11">
        <f>IF(B42="","",ROUND(N(C42)*G42,2))</f>
        <v/>
      </c>
      <c r="I42" s="11">
        <f>IF(B42="","",N(C42)+N(D42)+N(E42)-H42)</f>
        <v/>
      </c>
    </row>
    <row r="43">
      <c r="A43" s="8" t="n"/>
      <c r="B43" s="6" t="n"/>
      <c r="C43" s="9" t="n"/>
      <c r="D43" s="9" t="n"/>
      <c r="E43" s="9" t="n"/>
      <c r="F43" s="10">
        <f>IF(A43="","",IF(DAY(A43)&lt;=5,DATE(YEAR(A43),MONTH(A43),5),DATE(YEAR(A43),MONTH(A43)+1,5)))</f>
        <v/>
      </c>
      <c r="G43" s="7">
        <f>IF(B43="","",IFERROR(INDEX(Subcontractors!$E$2:$E$101,MATCH(B43,Subcontractors!$A$2:$A$101,0)),0.3))</f>
        <v/>
      </c>
      <c r="H43" s="11">
        <f>IF(B43="","",ROUND(N(C43)*G43,2))</f>
        <v/>
      </c>
      <c r="I43" s="11">
        <f>IF(B43="","",N(C43)+N(D43)+N(E43)-H43)</f>
        <v/>
      </c>
    </row>
    <row r="44">
      <c r="A44" s="8" t="n"/>
      <c r="B44" s="6" t="n"/>
      <c r="C44" s="9" t="n"/>
      <c r="D44" s="9" t="n"/>
      <c r="E44" s="9" t="n"/>
      <c r="F44" s="10">
        <f>IF(A44="","",IF(DAY(A44)&lt;=5,DATE(YEAR(A44),MONTH(A44),5),DATE(YEAR(A44),MONTH(A44)+1,5)))</f>
        <v/>
      </c>
      <c r="G44" s="7">
        <f>IF(B44="","",IFERROR(INDEX(Subcontractors!$E$2:$E$101,MATCH(B44,Subcontractors!$A$2:$A$101,0)),0.3))</f>
        <v/>
      </c>
      <c r="H44" s="11">
        <f>IF(B44="","",ROUND(N(C44)*G44,2))</f>
        <v/>
      </c>
      <c r="I44" s="11">
        <f>IF(B44="","",N(C44)+N(D44)+N(E44)-H44)</f>
        <v/>
      </c>
    </row>
    <row r="45">
      <c r="A45" s="8" t="n"/>
      <c r="B45" s="6" t="n"/>
      <c r="C45" s="9" t="n"/>
      <c r="D45" s="9" t="n"/>
      <c r="E45" s="9" t="n"/>
      <c r="F45" s="10">
        <f>IF(A45="","",IF(DAY(A45)&lt;=5,DATE(YEAR(A45),MONTH(A45),5),DATE(YEAR(A45),MONTH(A45)+1,5)))</f>
        <v/>
      </c>
      <c r="G45" s="7">
        <f>IF(B45="","",IFERROR(INDEX(Subcontractors!$E$2:$E$101,MATCH(B45,Subcontractors!$A$2:$A$101,0)),0.3))</f>
        <v/>
      </c>
      <c r="H45" s="11">
        <f>IF(B45="","",ROUND(N(C45)*G45,2))</f>
        <v/>
      </c>
      <c r="I45" s="11">
        <f>IF(B45="","",N(C45)+N(D45)+N(E45)-H45)</f>
        <v/>
      </c>
    </row>
    <row r="46">
      <c r="A46" s="8" t="n"/>
      <c r="B46" s="6" t="n"/>
      <c r="C46" s="9" t="n"/>
      <c r="D46" s="9" t="n"/>
      <c r="E46" s="9" t="n"/>
      <c r="F46" s="10">
        <f>IF(A46="","",IF(DAY(A46)&lt;=5,DATE(YEAR(A46),MONTH(A46),5),DATE(YEAR(A46),MONTH(A46)+1,5)))</f>
        <v/>
      </c>
      <c r="G46" s="7">
        <f>IF(B46="","",IFERROR(INDEX(Subcontractors!$E$2:$E$101,MATCH(B46,Subcontractors!$A$2:$A$101,0)),0.3))</f>
        <v/>
      </c>
      <c r="H46" s="11">
        <f>IF(B46="","",ROUND(N(C46)*G46,2))</f>
        <v/>
      </c>
      <c r="I46" s="11">
        <f>IF(B46="","",N(C46)+N(D46)+N(E46)-H46)</f>
        <v/>
      </c>
    </row>
    <row r="47">
      <c r="A47" s="8" t="n"/>
      <c r="B47" s="6" t="n"/>
      <c r="C47" s="9" t="n"/>
      <c r="D47" s="9" t="n"/>
      <c r="E47" s="9" t="n"/>
      <c r="F47" s="10">
        <f>IF(A47="","",IF(DAY(A47)&lt;=5,DATE(YEAR(A47),MONTH(A47),5),DATE(YEAR(A47),MONTH(A47)+1,5)))</f>
        <v/>
      </c>
      <c r="G47" s="7">
        <f>IF(B47="","",IFERROR(INDEX(Subcontractors!$E$2:$E$101,MATCH(B47,Subcontractors!$A$2:$A$101,0)),0.3))</f>
        <v/>
      </c>
      <c r="H47" s="11">
        <f>IF(B47="","",ROUND(N(C47)*G47,2))</f>
        <v/>
      </c>
      <c r="I47" s="11">
        <f>IF(B47="","",N(C47)+N(D47)+N(E47)-H47)</f>
        <v/>
      </c>
    </row>
    <row r="48">
      <c r="A48" s="8" t="n"/>
      <c r="B48" s="6" t="n"/>
      <c r="C48" s="9" t="n"/>
      <c r="D48" s="9" t="n"/>
      <c r="E48" s="9" t="n"/>
      <c r="F48" s="10">
        <f>IF(A48="","",IF(DAY(A48)&lt;=5,DATE(YEAR(A48),MONTH(A48),5),DATE(YEAR(A48),MONTH(A48)+1,5)))</f>
        <v/>
      </c>
      <c r="G48" s="7">
        <f>IF(B48="","",IFERROR(INDEX(Subcontractors!$E$2:$E$101,MATCH(B48,Subcontractors!$A$2:$A$101,0)),0.3))</f>
        <v/>
      </c>
      <c r="H48" s="11">
        <f>IF(B48="","",ROUND(N(C48)*G48,2))</f>
        <v/>
      </c>
      <c r="I48" s="11">
        <f>IF(B48="","",N(C48)+N(D48)+N(E48)-H48)</f>
        <v/>
      </c>
    </row>
    <row r="49">
      <c r="A49" s="8" t="n"/>
      <c r="B49" s="6" t="n"/>
      <c r="C49" s="9" t="n"/>
      <c r="D49" s="9" t="n"/>
      <c r="E49" s="9" t="n"/>
      <c r="F49" s="10">
        <f>IF(A49="","",IF(DAY(A49)&lt;=5,DATE(YEAR(A49),MONTH(A49),5),DATE(YEAR(A49),MONTH(A49)+1,5)))</f>
        <v/>
      </c>
      <c r="G49" s="7">
        <f>IF(B49="","",IFERROR(INDEX(Subcontractors!$E$2:$E$101,MATCH(B49,Subcontractors!$A$2:$A$101,0)),0.3))</f>
        <v/>
      </c>
      <c r="H49" s="11">
        <f>IF(B49="","",ROUND(N(C49)*G49,2))</f>
        <v/>
      </c>
      <c r="I49" s="11">
        <f>IF(B49="","",N(C49)+N(D49)+N(E49)-H49)</f>
        <v/>
      </c>
    </row>
    <row r="50">
      <c r="A50" s="8" t="n"/>
      <c r="B50" s="6" t="n"/>
      <c r="C50" s="9" t="n"/>
      <c r="D50" s="9" t="n"/>
      <c r="E50" s="9" t="n"/>
      <c r="F50" s="10">
        <f>IF(A50="","",IF(DAY(A50)&lt;=5,DATE(YEAR(A50),MONTH(A50),5),DATE(YEAR(A50),MONTH(A50)+1,5)))</f>
        <v/>
      </c>
      <c r="G50" s="7">
        <f>IF(B50="","",IFERROR(INDEX(Subcontractors!$E$2:$E$101,MATCH(B50,Subcontractors!$A$2:$A$101,0)),0.3))</f>
        <v/>
      </c>
      <c r="H50" s="11">
        <f>IF(B50="","",ROUND(N(C50)*G50,2))</f>
        <v/>
      </c>
      <c r="I50" s="11">
        <f>IF(B50="","",N(C50)+N(D50)+N(E50)-H50)</f>
        <v/>
      </c>
    </row>
    <row r="51">
      <c r="A51" s="8" t="n"/>
      <c r="B51" s="6" t="n"/>
      <c r="C51" s="9" t="n"/>
      <c r="D51" s="9" t="n"/>
      <c r="E51" s="9" t="n"/>
      <c r="F51" s="10">
        <f>IF(A51="","",IF(DAY(A51)&lt;=5,DATE(YEAR(A51),MONTH(A51),5),DATE(YEAR(A51),MONTH(A51)+1,5)))</f>
        <v/>
      </c>
      <c r="G51" s="7">
        <f>IF(B51="","",IFERROR(INDEX(Subcontractors!$E$2:$E$101,MATCH(B51,Subcontractors!$A$2:$A$101,0)),0.3))</f>
        <v/>
      </c>
      <c r="H51" s="11">
        <f>IF(B51="","",ROUND(N(C51)*G51,2))</f>
        <v/>
      </c>
      <c r="I51" s="11">
        <f>IF(B51="","",N(C51)+N(D51)+N(E51)-H51)</f>
        <v/>
      </c>
    </row>
    <row r="52">
      <c r="A52" s="8" t="n"/>
      <c r="B52" s="6" t="n"/>
      <c r="C52" s="9" t="n"/>
      <c r="D52" s="9" t="n"/>
      <c r="E52" s="9" t="n"/>
      <c r="F52" s="10">
        <f>IF(A52="","",IF(DAY(A52)&lt;=5,DATE(YEAR(A52),MONTH(A52),5),DATE(YEAR(A52),MONTH(A52)+1,5)))</f>
        <v/>
      </c>
      <c r="G52" s="7">
        <f>IF(B52="","",IFERROR(INDEX(Subcontractors!$E$2:$E$101,MATCH(B52,Subcontractors!$A$2:$A$101,0)),0.3))</f>
        <v/>
      </c>
      <c r="H52" s="11">
        <f>IF(B52="","",ROUND(N(C52)*G52,2))</f>
        <v/>
      </c>
      <c r="I52" s="11">
        <f>IF(B52="","",N(C52)+N(D52)+N(E52)-H52)</f>
        <v/>
      </c>
    </row>
    <row r="53">
      <c r="A53" s="8" t="n"/>
      <c r="B53" s="6" t="n"/>
      <c r="C53" s="9" t="n"/>
      <c r="D53" s="9" t="n"/>
      <c r="E53" s="9" t="n"/>
      <c r="F53" s="10">
        <f>IF(A53="","",IF(DAY(A53)&lt;=5,DATE(YEAR(A53),MONTH(A53),5),DATE(YEAR(A53),MONTH(A53)+1,5)))</f>
        <v/>
      </c>
      <c r="G53" s="7">
        <f>IF(B53="","",IFERROR(INDEX(Subcontractors!$E$2:$E$101,MATCH(B53,Subcontractors!$A$2:$A$101,0)),0.3))</f>
        <v/>
      </c>
      <c r="H53" s="11">
        <f>IF(B53="","",ROUND(N(C53)*G53,2))</f>
        <v/>
      </c>
      <c r="I53" s="11">
        <f>IF(B53="","",N(C53)+N(D53)+N(E53)-H53)</f>
        <v/>
      </c>
    </row>
    <row r="54">
      <c r="A54" s="8" t="n"/>
      <c r="B54" s="6" t="n"/>
      <c r="C54" s="9" t="n"/>
      <c r="D54" s="9" t="n"/>
      <c r="E54" s="9" t="n"/>
      <c r="F54" s="10">
        <f>IF(A54="","",IF(DAY(A54)&lt;=5,DATE(YEAR(A54),MONTH(A54),5),DATE(YEAR(A54),MONTH(A54)+1,5)))</f>
        <v/>
      </c>
      <c r="G54" s="7">
        <f>IF(B54="","",IFERROR(INDEX(Subcontractors!$E$2:$E$101,MATCH(B54,Subcontractors!$A$2:$A$101,0)),0.3))</f>
        <v/>
      </c>
      <c r="H54" s="11">
        <f>IF(B54="","",ROUND(N(C54)*G54,2))</f>
        <v/>
      </c>
      <c r="I54" s="11">
        <f>IF(B54="","",N(C54)+N(D54)+N(E54)-H54)</f>
        <v/>
      </c>
    </row>
    <row r="55">
      <c r="A55" s="8" t="n"/>
      <c r="B55" s="6" t="n"/>
      <c r="C55" s="9" t="n"/>
      <c r="D55" s="9" t="n"/>
      <c r="E55" s="9" t="n"/>
      <c r="F55" s="10">
        <f>IF(A55="","",IF(DAY(A55)&lt;=5,DATE(YEAR(A55),MONTH(A55),5),DATE(YEAR(A55),MONTH(A55)+1,5)))</f>
        <v/>
      </c>
      <c r="G55" s="7">
        <f>IF(B55="","",IFERROR(INDEX(Subcontractors!$E$2:$E$101,MATCH(B55,Subcontractors!$A$2:$A$101,0)),0.3))</f>
        <v/>
      </c>
      <c r="H55" s="11">
        <f>IF(B55="","",ROUND(N(C55)*G55,2))</f>
        <v/>
      </c>
      <c r="I55" s="11">
        <f>IF(B55="","",N(C55)+N(D55)+N(E55)-H55)</f>
        <v/>
      </c>
    </row>
    <row r="56">
      <c r="A56" s="8" t="n"/>
      <c r="B56" s="6" t="n"/>
      <c r="C56" s="9" t="n"/>
      <c r="D56" s="9" t="n"/>
      <c r="E56" s="9" t="n"/>
      <c r="F56" s="10">
        <f>IF(A56="","",IF(DAY(A56)&lt;=5,DATE(YEAR(A56),MONTH(A56),5),DATE(YEAR(A56),MONTH(A56)+1,5)))</f>
        <v/>
      </c>
      <c r="G56" s="7">
        <f>IF(B56="","",IFERROR(INDEX(Subcontractors!$E$2:$E$101,MATCH(B56,Subcontractors!$A$2:$A$101,0)),0.3))</f>
        <v/>
      </c>
      <c r="H56" s="11">
        <f>IF(B56="","",ROUND(N(C56)*G56,2))</f>
        <v/>
      </c>
      <c r="I56" s="11">
        <f>IF(B56="","",N(C56)+N(D56)+N(E56)-H56)</f>
        <v/>
      </c>
    </row>
    <row r="57">
      <c r="A57" s="8" t="n"/>
      <c r="B57" s="6" t="n"/>
      <c r="C57" s="9" t="n"/>
      <c r="D57" s="9" t="n"/>
      <c r="E57" s="9" t="n"/>
      <c r="F57" s="10">
        <f>IF(A57="","",IF(DAY(A57)&lt;=5,DATE(YEAR(A57),MONTH(A57),5),DATE(YEAR(A57),MONTH(A57)+1,5)))</f>
        <v/>
      </c>
      <c r="G57" s="7">
        <f>IF(B57="","",IFERROR(INDEX(Subcontractors!$E$2:$E$101,MATCH(B57,Subcontractors!$A$2:$A$101,0)),0.3))</f>
        <v/>
      </c>
      <c r="H57" s="11">
        <f>IF(B57="","",ROUND(N(C57)*G57,2))</f>
        <v/>
      </c>
      <c r="I57" s="11">
        <f>IF(B57="","",N(C57)+N(D57)+N(E57)-H57)</f>
        <v/>
      </c>
    </row>
    <row r="58">
      <c r="A58" s="8" t="n"/>
      <c r="B58" s="6" t="n"/>
      <c r="C58" s="9" t="n"/>
      <c r="D58" s="9" t="n"/>
      <c r="E58" s="9" t="n"/>
      <c r="F58" s="10">
        <f>IF(A58="","",IF(DAY(A58)&lt;=5,DATE(YEAR(A58),MONTH(A58),5),DATE(YEAR(A58),MONTH(A58)+1,5)))</f>
        <v/>
      </c>
      <c r="G58" s="7">
        <f>IF(B58="","",IFERROR(INDEX(Subcontractors!$E$2:$E$101,MATCH(B58,Subcontractors!$A$2:$A$101,0)),0.3))</f>
        <v/>
      </c>
      <c r="H58" s="11">
        <f>IF(B58="","",ROUND(N(C58)*G58,2))</f>
        <v/>
      </c>
      <c r="I58" s="11">
        <f>IF(B58="","",N(C58)+N(D58)+N(E58)-H58)</f>
        <v/>
      </c>
    </row>
    <row r="59">
      <c r="A59" s="8" t="n"/>
      <c r="B59" s="6" t="n"/>
      <c r="C59" s="9" t="n"/>
      <c r="D59" s="9" t="n"/>
      <c r="E59" s="9" t="n"/>
      <c r="F59" s="10">
        <f>IF(A59="","",IF(DAY(A59)&lt;=5,DATE(YEAR(A59),MONTH(A59),5),DATE(YEAR(A59),MONTH(A59)+1,5)))</f>
        <v/>
      </c>
      <c r="G59" s="7">
        <f>IF(B59="","",IFERROR(INDEX(Subcontractors!$E$2:$E$101,MATCH(B59,Subcontractors!$A$2:$A$101,0)),0.3))</f>
        <v/>
      </c>
      <c r="H59" s="11">
        <f>IF(B59="","",ROUND(N(C59)*G59,2))</f>
        <v/>
      </c>
      <c r="I59" s="11">
        <f>IF(B59="","",N(C59)+N(D59)+N(E59)-H59)</f>
        <v/>
      </c>
    </row>
    <row r="60">
      <c r="A60" s="8" t="n"/>
      <c r="B60" s="6" t="n"/>
      <c r="C60" s="9" t="n"/>
      <c r="D60" s="9" t="n"/>
      <c r="E60" s="9" t="n"/>
      <c r="F60" s="10">
        <f>IF(A60="","",IF(DAY(A60)&lt;=5,DATE(YEAR(A60),MONTH(A60),5),DATE(YEAR(A60),MONTH(A60)+1,5)))</f>
        <v/>
      </c>
      <c r="G60" s="7">
        <f>IF(B60="","",IFERROR(INDEX(Subcontractors!$E$2:$E$101,MATCH(B60,Subcontractors!$A$2:$A$101,0)),0.3))</f>
        <v/>
      </c>
      <c r="H60" s="11">
        <f>IF(B60="","",ROUND(N(C60)*G60,2))</f>
        <v/>
      </c>
      <c r="I60" s="11">
        <f>IF(B60="","",N(C60)+N(D60)+N(E60)-H60)</f>
        <v/>
      </c>
    </row>
    <row r="61">
      <c r="A61" s="8" t="n"/>
      <c r="B61" s="6" t="n"/>
      <c r="C61" s="9" t="n"/>
      <c r="D61" s="9" t="n"/>
      <c r="E61" s="9" t="n"/>
      <c r="F61" s="10">
        <f>IF(A61="","",IF(DAY(A61)&lt;=5,DATE(YEAR(A61),MONTH(A61),5),DATE(YEAR(A61),MONTH(A61)+1,5)))</f>
        <v/>
      </c>
      <c r="G61" s="7">
        <f>IF(B61="","",IFERROR(INDEX(Subcontractors!$E$2:$E$101,MATCH(B61,Subcontractors!$A$2:$A$101,0)),0.3))</f>
        <v/>
      </c>
      <c r="H61" s="11">
        <f>IF(B61="","",ROUND(N(C61)*G61,2))</f>
        <v/>
      </c>
      <c r="I61" s="11">
        <f>IF(B61="","",N(C61)+N(D61)+N(E61)-H61)</f>
        <v/>
      </c>
    </row>
    <row r="62">
      <c r="A62" s="8" t="n"/>
      <c r="B62" s="6" t="n"/>
      <c r="C62" s="9" t="n"/>
      <c r="D62" s="9" t="n"/>
      <c r="E62" s="9" t="n"/>
      <c r="F62" s="10">
        <f>IF(A62="","",IF(DAY(A62)&lt;=5,DATE(YEAR(A62),MONTH(A62),5),DATE(YEAR(A62),MONTH(A62)+1,5)))</f>
        <v/>
      </c>
      <c r="G62" s="7">
        <f>IF(B62="","",IFERROR(INDEX(Subcontractors!$E$2:$E$101,MATCH(B62,Subcontractors!$A$2:$A$101,0)),0.3))</f>
        <v/>
      </c>
      <c r="H62" s="11">
        <f>IF(B62="","",ROUND(N(C62)*G62,2))</f>
        <v/>
      </c>
      <c r="I62" s="11">
        <f>IF(B62="","",N(C62)+N(D62)+N(E62)-H62)</f>
        <v/>
      </c>
    </row>
    <row r="63">
      <c r="A63" s="8" t="n"/>
      <c r="B63" s="6" t="n"/>
      <c r="C63" s="9" t="n"/>
      <c r="D63" s="9" t="n"/>
      <c r="E63" s="9" t="n"/>
      <c r="F63" s="10">
        <f>IF(A63="","",IF(DAY(A63)&lt;=5,DATE(YEAR(A63),MONTH(A63),5),DATE(YEAR(A63),MONTH(A63)+1,5)))</f>
        <v/>
      </c>
      <c r="G63" s="7">
        <f>IF(B63="","",IFERROR(INDEX(Subcontractors!$E$2:$E$101,MATCH(B63,Subcontractors!$A$2:$A$101,0)),0.3))</f>
        <v/>
      </c>
      <c r="H63" s="11">
        <f>IF(B63="","",ROUND(N(C63)*G63,2))</f>
        <v/>
      </c>
      <c r="I63" s="11">
        <f>IF(B63="","",N(C63)+N(D63)+N(E63)-H63)</f>
        <v/>
      </c>
    </row>
    <row r="64">
      <c r="A64" s="8" t="n"/>
      <c r="B64" s="6" t="n"/>
      <c r="C64" s="9" t="n"/>
      <c r="D64" s="9" t="n"/>
      <c r="E64" s="9" t="n"/>
      <c r="F64" s="10">
        <f>IF(A64="","",IF(DAY(A64)&lt;=5,DATE(YEAR(A64),MONTH(A64),5),DATE(YEAR(A64),MONTH(A64)+1,5)))</f>
        <v/>
      </c>
      <c r="G64" s="7">
        <f>IF(B64="","",IFERROR(INDEX(Subcontractors!$E$2:$E$101,MATCH(B64,Subcontractors!$A$2:$A$101,0)),0.3))</f>
        <v/>
      </c>
      <c r="H64" s="11">
        <f>IF(B64="","",ROUND(N(C64)*G64,2))</f>
        <v/>
      </c>
      <c r="I64" s="11">
        <f>IF(B64="","",N(C64)+N(D64)+N(E64)-H64)</f>
        <v/>
      </c>
    </row>
    <row r="65">
      <c r="A65" s="8" t="n"/>
      <c r="B65" s="6" t="n"/>
      <c r="C65" s="9" t="n"/>
      <c r="D65" s="9" t="n"/>
      <c r="E65" s="9" t="n"/>
      <c r="F65" s="10">
        <f>IF(A65="","",IF(DAY(A65)&lt;=5,DATE(YEAR(A65),MONTH(A65),5),DATE(YEAR(A65),MONTH(A65)+1,5)))</f>
        <v/>
      </c>
      <c r="G65" s="7">
        <f>IF(B65="","",IFERROR(INDEX(Subcontractors!$E$2:$E$101,MATCH(B65,Subcontractors!$A$2:$A$101,0)),0.3))</f>
        <v/>
      </c>
      <c r="H65" s="11">
        <f>IF(B65="","",ROUND(N(C65)*G65,2))</f>
        <v/>
      </c>
      <c r="I65" s="11">
        <f>IF(B65="","",N(C65)+N(D65)+N(E65)-H65)</f>
        <v/>
      </c>
    </row>
    <row r="66">
      <c r="A66" s="8" t="n"/>
      <c r="B66" s="6" t="n"/>
      <c r="C66" s="9" t="n"/>
      <c r="D66" s="9" t="n"/>
      <c r="E66" s="9" t="n"/>
      <c r="F66" s="10">
        <f>IF(A66="","",IF(DAY(A66)&lt;=5,DATE(YEAR(A66),MONTH(A66),5),DATE(YEAR(A66),MONTH(A66)+1,5)))</f>
        <v/>
      </c>
      <c r="G66" s="7">
        <f>IF(B66="","",IFERROR(INDEX(Subcontractors!$E$2:$E$101,MATCH(B66,Subcontractors!$A$2:$A$101,0)),0.3))</f>
        <v/>
      </c>
      <c r="H66" s="11">
        <f>IF(B66="","",ROUND(N(C66)*G66,2))</f>
        <v/>
      </c>
      <c r="I66" s="11">
        <f>IF(B66="","",N(C66)+N(D66)+N(E66)-H66)</f>
        <v/>
      </c>
    </row>
    <row r="67">
      <c r="A67" s="8" t="n"/>
      <c r="B67" s="6" t="n"/>
      <c r="C67" s="9" t="n"/>
      <c r="D67" s="9" t="n"/>
      <c r="E67" s="9" t="n"/>
      <c r="F67" s="10">
        <f>IF(A67="","",IF(DAY(A67)&lt;=5,DATE(YEAR(A67),MONTH(A67),5),DATE(YEAR(A67),MONTH(A67)+1,5)))</f>
        <v/>
      </c>
      <c r="G67" s="7">
        <f>IF(B67="","",IFERROR(INDEX(Subcontractors!$E$2:$E$101,MATCH(B67,Subcontractors!$A$2:$A$101,0)),0.3))</f>
        <v/>
      </c>
      <c r="H67" s="11">
        <f>IF(B67="","",ROUND(N(C67)*G67,2))</f>
        <v/>
      </c>
      <c r="I67" s="11">
        <f>IF(B67="","",N(C67)+N(D67)+N(E67)-H67)</f>
        <v/>
      </c>
    </row>
    <row r="68">
      <c r="A68" s="8" t="n"/>
      <c r="B68" s="6" t="n"/>
      <c r="C68" s="9" t="n"/>
      <c r="D68" s="9" t="n"/>
      <c r="E68" s="9" t="n"/>
      <c r="F68" s="10">
        <f>IF(A68="","",IF(DAY(A68)&lt;=5,DATE(YEAR(A68),MONTH(A68),5),DATE(YEAR(A68),MONTH(A68)+1,5)))</f>
        <v/>
      </c>
      <c r="G68" s="7">
        <f>IF(B68="","",IFERROR(INDEX(Subcontractors!$E$2:$E$101,MATCH(B68,Subcontractors!$A$2:$A$101,0)),0.3))</f>
        <v/>
      </c>
      <c r="H68" s="11">
        <f>IF(B68="","",ROUND(N(C68)*G68,2))</f>
        <v/>
      </c>
      <c r="I68" s="11">
        <f>IF(B68="","",N(C68)+N(D68)+N(E68)-H68)</f>
        <v/>
      </c>
    </row>
    <row r="69">
      <c r="A69" s="8" t="n"/>
      <c r="B69" s="6" t="n"/>
      <c r="C69" s="9" t="n"/>
      <c r="D69" s="9" t="n"/>
      <c r="E69" s="9" t="n"/>
      <c r="F69" s="10">
        <f>IF(A69="","",IF(DAY(A69)&lt;=5,DATE(YEAR(A69),MONTH(A69),5),DATE(YEAR(A69),MONTH(A69)+1,5)))</f>
        <v/>
      </c>
      <c r="G69" s="7">
        <f>IF(B69="","",IFERROR(INDEX(Subcontractors!$E$2:$E$101,MATCH(B69,Subcontractors!$A$2:$A$101,0)),0.3))</f>
        <v/>
      </c>
      <c r="H69" s="11">
        <f>IF(B69="","",ROUND(N(C69)*G69,2))</f>
        <v/>
      </c>
      <c r="I69" s="11">
        <f>IF(B69="","",N(C69)+N(D69)+N(E69)-H69)</f>
        <v/>
      </c>
    </row>
    <row r="70">
      <c r="A70" s="8" t="n"/>
      <c r="B70" s="6" t="n"/>
      <c r="C70" s="9" t="n"/>
      <c r="D70" s="9" t="n"/>
      <c r="E70" s="9" t="n"/>
      <c r="F70" s="10">
        <f>IF(A70="","",IF(DAY(A70)&lt;=5,DATE(YEAR(A70),MONTH(A70),5),DATE(YEAR(A70),MONTH(A70)+1,5)))</f>
        <v/>
      </c>
      <c r="G70" s="7">
        <f>IF(B70="","",IFERROR(INDEX(Subcontractors!$E$2:$E$101,MATCH(B70,Subcontractors!$A$2:$A$101,0)),0.3))</f>
        <v/>
      </c>
      <c r="H70" s="11">
        <f>IF(B70="","",ROUND(N(C70)*G70,2))</f>
        <v/>
      </c>
      <c r="I70" s="11">
        <f>IF(B70="","",N(C70)+N(D70)+N(E70)-H70)</f>
        <v/>
      </c>
    </row>
    <row r="71">
      <c r="A71" s="8" t="n"/>
      <c r="B71" s="6" t="n"/>
      <c r="C71" s="9" t="n"/>
      <c r="D71" s="9" t="n"/>
      <c r="E71" s="9" t="n"/>
      <c r="F71" s="10">
        <f>IF(A71="","",IF(DAY(A71)&lt;=5,DATE(YEAR(A71),MONTH(A71),5),DATE(YEAR(A71),MONTH(A71)+1,5)))</f>
        <v/>
      </c>
      <c r="G71" s="7">
        <f>IF(B71="","",IFERROR(INDEX(Subcontractors!$E$2:$E$101,MATCH(B71,Subcontractors!$A$2:$A$101,0)),0.3))</f>
        <v/>
      </c>
      <c r="H71" s="11">
        <f>IF(B71="","",ROUND(N(C71)*G71,2))</f>
        <v/>
      </c>
      <c r="I71" s="11">
        <f>IF(B71="","",N(C71)+N(D71)+N(E71)-H71)</f>
        <v/>
      </c>
    </row>
    <row r="72">
      <c r="A72" s="8" t="n"/>
      <c r="B72" s="6" t="n"/>
      <c r="C72" s="9" t="n"/>
      <c r="D72" s="9" t="n"/>
      <c r="E72" s="9" t="n"/>
      <c r="F72" s="10">
        <f>IF(A72="","",IF(DAY(A72)&lt;=5,DATE(YEAR(A72),MONTH(A72),5),DATE(YEAR(A72),MONTH(A72)+1,5)))</f>
        <v/>
      </c>
      <c r="G72" s="7">
        <f>IF(B72="","",IFERROR(INDEX(Subcontractors!$E$2:$E$101,MATCH(B72,Subcontractors!$A$2:$A$101,0)),0.3))</f>
        <v/>
      </c>
      <c r="H72" s="11">
        <f>IF(B72="","",ROUND(N(C72)*G72,2))</f>
        <v/>
      </c>
      <c r="I72" s="11">
        <f>IF(B72="","",N(C72)+N(D72)+N(E72)-H72)</f>
        <v/>
      </c>
    </row>
    <row r="73">
      <c r="A73" s="8" t="n"/>
      <c r="B73" s="6" t="n"/>
      <c r="C73" s="9" t="n"/>
      <c r="D73" s="9" t="n"/>
      <c r="E73" s="9" t="n"/>
      <c r="F73" s="10">
        <f>IF(A73="","",IF(DAY(A73)&lt;=5,DATE(YEAR(A73),MONTH(A73),5),DATE(YEAR(A73),MONTH(A73)+1,5)))</f>
        <v/>
      </c>
      <c r="G73" s="7">
        <f>IF(B73="","",IFERROR(INDEX(Subcontractors!$E$2:$E$101,MATCH(B73,Subcontractors!$A$2:$A$101,0)),0.3))</f>
        <v/>
      </c>
      <c r="H73" s="11">
        <f>IF(B73="","",ROUND(N(C73)*G73,2))</f>
        <v/>
      </c>
      <c r="I73" s="11">
        <f>IF(B73="","",N(C73)+N(D73)+N(E73)-H73)</f>
        <v/>
      </c>
    </row>
    <row r="74">
      <c r="A74" s="8" t="n"/>
      <c r="B74" s="6" t="n"/>
      <c r="C74" s="9" t="n"/>
      <c r="D74" s="9" t="n"/>
      <c r="E74" s="9" t="n"/>
      <c r="F74" s="10">
        <f>IF(A74="","",IF(DAY(A74)&lt;=5,DATE(YEAR(A74),MONTH(A74),5),DATE(YEAR(A74),MONTH(A74)+1,5)))</f>
        <v/>
      </c>
      <c r="G74" s="7">
        <f>IF(B74="","",IFERROR(INDEX(Subcontractors!$E$2:$E$101,MATCH(B74,Subcontractors!$A$2:$A$101,0)),0.3))</f>
        <v/>
      </c>
      <c r="H74" s="11">
        <f>IF(B74="","",ROUND(N(C74)*G74,2))</f>
        <v/>
      </c>
      <c r="I74" s="11">
        <f>IF(B74="","",N(C74)+N(D74)+N(E74)-H74)</f>
        <v/>
      </c>
    </row>
    <row r="75">
      <c r="A75" s="8" t="n"/>
      <c r="B75" s="6" t="n"/>
      <c r="C75" s="9" t="n"/>
      <c r="D75" s="9" t="n"/>
      <c r="E75" s="9" t="n"/>
      <c r="F75" s="10">
        <f>IF(A75="","",IF(DAY(A75)&lt;=5,DATE(YEAR(A75),MONTH(A75),5),DATE(YEAR(A75),MONTH(A75)+1,5)))</f>
        <v/>
      </c>
      <c r="G75" s="7">
        <f>IF(B75="","",IFERROR(INDEX(Subcontractors!$E$2:$E$101,MATCH(B75,Subcontractors!$A$2:$A$101,0)),0.3))</f>
        <v/>
      </c>
      <c r="H75" s="11">
        <f>IF(B75="","",ROUND(N(C75)*G75,2))</f>
        <v/>
      </c>
      <c r="I75" s="11">
        <f>IF(B75="","",N(C75)+N(D75)+N(E75)-H75)</f>
        <v/>
      </c>
    </row>
    <row r="76">
      <c r="A76" s="8" t="n"/>
      <c r="B76" s="6" t="n"/>
      <c r="C76" s="9" t="n"/>
      <c r="D76" s="9" t="n"/>
      <c r="E76" s="9" t="n"/>
      <c r="F76" s="10">
        <f>IF(A76="","",IF(DAY(A76)&lt;=5,DATE(YEAR(A76),MONTH(A76),5),DATE(YEAR(A76),MONTH(A76)+1,5)))</f>
        <v/>
      </c>
      <c r="G76" s="7">
        <f>IF(B76="","",IFERROR(INDEX(Subcontractors!$E$2:$E$101,MATCH(B76,Subcontractors!$A$2:$A$101,0)),0.3))</f>
        <v/>
      </c>
      <c r="H76" s="11">
        <f>IF(B76="","",ROUND(N(C76)*G76,2))</f>
        <v/>
      </c>
      <c r="I76" s="11">
        <f>IF(B76="","",N(C76)+N(D76)+N(E76)-H76)</f>
        <v/>
      </c>
    </row>
    <row r="77">
      <c r="A77" s="8" t="n"/>
      <c r="B77" s="6" t="n"/>
      <c r="C77" s="9" t="n"/>
      <c r="D77" s="9" t="n"/>
      <c r="E77" s="9" t="n"/>
      <c r="F77" s="10">
        <f>IF(A77="","",IF(DAY(A77)&lt;=5,DATE(YEAR(A77),MONTH(A77),5),DATE(YEAR(A77),MONTH(A77)+1,5)))</f>
        <v/>
      </c>
      <c r="G77" s="7">
        <f>IF(B77="","",IFERROR(INDEX(Subcontractors!$E$2:$E$101,MATCH(B77,Subcontractors!$A$2:$A$101,0)),0.3))</f>
        <v/>
      </c>
      <c r="H77" s="11">
        <f>IF(B77="","",ROUND(N(C77)*G77,2))</f>
        <v/>
      </c>
      <c r="I77" s="11">
        <f>IF(B77="","",N(C77)+N(D77)+N(E77)-H77)</f>
        <v/>
      </c>
    </row>
    <row r="78">
      <c r="A78" s="8" t="n"/>
      <c r="B78" s="6" t="n"/>
      <c r="C78" s="9" t="n"/>
      <c r="D78" s="9" t="n"/>
      <c r="E78" s="9" t="n"/>
      <c r="F78" s="10">
        <f>IF(A78="","",IF(DAY(A78)&lt;=5,DATE(YEAR(A78),MONTH(A78),5),DATE(YEAR(A78),MONTH(A78)+1,5)))</f>
        <v/>
      </c>
      <c r="G78" s="7">
        <f>IF(B78="","",IFERROR(INDEX(Subcontractors!$E$2:$E$101,MATCH(B78,Subcontractors!$A$2:$A$101,0)),0.3))</f>
        <v/>
      </c>
      <c r="H78" s="11">
        <f>IF(B78="","",ROUND(N(C78)*G78,2))</f>
        <v/>
      </c>
      <c r="I78" s="11">
        <f>IF(B78="","",N(C78)+N(D78)+N(E78)-H78)</f>
        <v/>
      </c>
    </row>
    <row r="79">
      <c r="A79" s="8" t="n"/>
      <c r="B79" s="6" t="n"/>
      <c r="C79" s="9" t="n"/>
      <c r="D79" s="9" t="n"/>
      <c r="E79" s="9" t="n"/>
      <c r="F79" s="10">
        <f>IF(A79="","",IF(DAY(A79)&lt;=5,DATE(YEAR(A79),MONTH(A79),5),DATE(YEAR(A79),MONTH(A79)+1,5)))</f>
        <v/>
      </c>
      <c r="G79" s="7">
        <f>IF(B79="","",IFERROR(INDEX(Subcontractors!$E$2:$E$101,MATCH(B79,Subcontractors!$A$2:$A$101,0)),0.3))</f>
        <v/>
      </c>
      <c r="H79" s="11">
        <f>IF(B79="","",ROUND(N(C79)*G79,2))</f>
        <v/>
      </c>
      <c r="I79" s="11">
        <f>IF(B79="","",N(C79)+N(D79)+N(E79)-H79)</f>
        <v/>
      </c>
    </row>
    <row r="80">
      <c r="A80" s="8" t="n"/>
      <c r="B80" s="6" t="n"/>
      <c r="C80" s="9" t="n"/>
      <c r="D80" s="9" t="n"/>
      <c r="E80" s="9" t="n"/>
      <c r="F80" s="10">
        <f>IF(A80="","",IF(DAY(A80)&lt;=5,DATE(YEAR(A80),MONTH(A80),5),DATE(YEAR(A80),MONTH(A80)+1,5)))</f>
        <v/>
      </c>
      <c r="G80" s="7">
        <f>IF(B80="","",IFERROR(INDEX(Subcontractors!$E$2:$E$101,MATCH(B80,Subcontractors!$A$2:$A$101,0)),0.3))</f>
        <v/>
      </c>
      <c r="H80" s="11">
        <f>IF(B80="","",ROUND(N(C80)*G80,2))</f>
        <v/>
      </c>
      <c r="I80" s="11">
        <f>IF(B80="","",N(C80)+N(D80)+N(E80)-H80)</f>
        <v/>
      </c>
    </row>
    <row r="81">
      <c r="A81" s="8" t="n"/>
      <c r="B81" s="6" t="n"/>
      <c r="C81" s="9" t="n"/>
      <c r="D81" s="9" t="n"/>
      <c r="E81" s="9" t="n"/>
      <c r="F81" s="10">
        <f>IF(A81="","",IF(DAY(A81)&lt;=5,DATE(YEAR(A81),MONTH(A81),5),DATE(YEAR(A81),MONTH(A81)+1,5)))</f>
        <v/>
      </c>
      <c r="G81" s="7">
        <f>IF(B81="","",IFERROR(INDEX(Subcontractors!$E$2:$E$101,MATCH(B81,Subcontractors!$A$2:$A$101,0)),0.3))</f>
        <v/>
      </c>
      <c r="H81" s="11">
        <f>IF(B81="","",ROUND(N(C81)*G81,2))</f>
        <v/>
      </c>
      <c r="I81" s="11">
        <f>IF(B81="","",N(C81)+N(D81)+N(E81)-H81)</f>
        <v/>
      </c>
    </row>
    <row r="82">
      <c r="A82" s="8" t="n"/>
      <c r="B82" s="6" t="n"/>
      <c r="C82" s="9" t="n"/>
      <c r="D82" s="9" t="n"/>
      <c r="E82" s="9" t="n"/>
      <c r="F82" s="10">
        <f>IF(A82="","",IF(DAY(A82)&lt;=5,DATE(YEAR(A82),MONTH(A82),5),DATE(YEAR(A82),MONTH(A82)+1,5)))</f>
        <v/>
      </c>
      <c r="G82" s="7">
        <f>IF(B82="","",IFERROR(INDEX(Subcontractors!$E$2:$E$101,MATCH(B82,Subcontractors!$A$2:$A$101,0)),0.3))</f>
        <v/>
      </c>
      <c r="H82" s="11">
        <f>IF(B82="","",ROUND(N(C82)*G82,2))</f>
        <v/>
      </c>
      <c r="I82" s="11">
        <f>IF(B82="","",N(C82)+N(D82)+N(E82)-H82)</f>
        <v/>
      </c>
    </row>
    <row r="83">
      <c r="A83" s="8" t="n"/>
      <c r="B83" s="6" t="n"/>
      <c r="C83" s="9" t="n"/>
      <c r="D83" s="9" t="n"/>
      <c r="E83" s="9" t="n"/>
      <c r="F83" s="10">
        <f>IF(A83="","",IF(DAY(A83)&lt;=5,DATE(YEAR(A83),MONTH(A83),5),DATE(YEAR(A83),MONTH(A83)+1,5)))</f>
        <v/>
      </c>
      <c r="G83" s="7">
        <f>IF(B83="","",IFERROR(INDEX(Subcontractors!$E$2:$E$101,MATCH(B83,Subcontractors!$A$2:$A$101,0)),0.3))</f>
        <v/>
      </c>
      <c r="H83" s="11">
        <f>IF(B83="","",ROUND(N(C83)*G83,2))</f>
        <v/>
      </c>
      <c r="I83" s="11">
        <f>IF(B83="","",N(C83)+N(D83)+N(E83)-H83)</f>
        <v/>
      </c>
    </row>
    <row r="84">
      <c r="A84" s="8" t="n"/>
      <c r="B84" s="6" t="n"/>
      <c r="C84" s="9" t="n"/>
      <c r="D84" s="9" t="n"/>
      <c r="E84" s="9" t="n"/>
      <c r="F84" s="10">
        <f>IF(A84="","",IF(DAY(A84)&lt;=5,DATE(YEAR(A84),MONTH(A84),5),DATE(YEAR(A84),MONTH(A84)+1,5)))</f>
        <v/>
      </c>
      <c r="G84" s="7">
        <f>IF(B84="","",IFERROR(INDEX(Subcontractors!$E$2:$E$101,MATCH(B84,Subcontractors!$A$2:$A$101,0)),0.3))</f>
        <v/>
      </c>
      <c r="H84" s="11">
        <f>IF(B84="","",ROUND(N(C84)*G84,2))</f>
        <v/>
      </c>
      <c r="I84" s="11">
        <f>IF(B84="","",N(C84)+N(D84)+N(E84)-H84)</f>
        <v/>
      </c>
    </row>
    <row r="85">
      <c r="A85" s="8" t="n"/>
      <c r="B85" s="6" t="n"/>
      <c r="C85" s="9" t="n"/>
      <c r="D85" s="9" t="n"/>
      <c r="E85" s="9" t="n"/>
      <c r="F85" s="10">
        <f>IF(A85="","",IF(DAY(A85)&lt;=5,DATE(YEAR(A85),MONTH(A85),5),DATE(YEAR(A85),MONTH(A85)+1,5)))</f>
        <v/>
      </c>
      <c r="G85" s="7">
        <f>IF(B85="","",IFERROR(INDEX(Subcontractors!$E$2:$E$101,MATCH(B85,Subcontractors!$A$2:$A$101,0)),0.3))</f>
        <v/>
      </c>
      <c r="H85" s="11">
        <f>IF(B85="","",ROUND(N(C85)*G85,2))</f>
        <v/>
      </c>
      <c r="I85" s="11">
        <f>IF(B85="","",N(C85)+N(D85)+N(E85)-H85)</f>
        <v/>
      </c>
    </row>
    <row r="86">
      <c r="A86" s="8" t="n"/>
      <c r="B86" s="6" t="n"/>
      <c r="C86" s="9" t="n"/>
      <c r="D86" s="9" t="n"/>
      <c r="E86" s="9" t="n"/>
      <c r="F86" s="10">
        <f>IF(A86="","",IF(DAY(A86)&lt;=5,DATE(YEAR(A86),MONTH(A86),5),DATE(YEAR(A86),MONTH(A86)+1,5)))</f>
        <v/>
      </c>
      <c r="G86" s="7">
        <f>IF(B86="","",IFERROR(INDEX(Subcontractors!$E$2:$E$101,MATCH(B86,Subcontractors!$A$2:$A$101,0)),0.3))</f>
        <v/>
      </c>
      <c r="H86" s="11">
        <f>IF(B86="","",ROUND(N(C86)*G86,2))</f>
        <v/>
      </c>
      <c r="I86" s="11">
        <f>IF(B86="","",N(C86)+N(D86)+N(E86)-H86)</f>
        <v/>
      </c>
    </row>
    <row r="87">
      <c r="A87" s="8" t="n"/>
      <c r="B87" s="6" t="n"/>
      <c r="C87" s="9" t="n"/>
      <c r="D87" s="9" t="n"/>
      <c r="E87" s="9" t="n"/>
      <c r="F87" s="10">
        <f>IF(A87="","",IF(DAY(A87)&lt;=5,DATE(YEAR(A87),MONTH(A87),5),DATE(YEAR(A87),MONTH(A87)+1,5)))</f>
        <v/>
      </c>
      <c r="G87" s="7">
        <f>IF(B87="","",IFERROR(INDEX(Subcontractors!$E$2:$E$101,MATCH(B87,Subcontractors!$A$2:$A$101,0)),0.3))</f>
        <v/>
      </c>
      <c r="H87" s="11">
        <f>IF(B87="","",ROUND(N(C87)*G87,2))</f>
        <v/>
      </c>
      <c r="I87" s="11">
        <f>IF(B87="","",N(C87)+N(D87)+N(E87)-H87)</f>
        <v/>
      </c>
    </row>
    <row r="88">
      <c r="A88" s="8" t="n"/>
      <c r="B88" s="6" t="n"/>
      <c r="C88" s="9" t="n"/>
      <c r="D88" s="9" t="n"/>
      <c r="E88" s="9" t="n"/>
      <c r="F88" s="10">
        <f>IF(A88="","",IF(DAY(A88)&lt;=5,DATE(YEAR(A88),MONTH(A88),5),DATE(YEAR(A88),MONTH(A88)+1,5)))</f>
        <v/>
      </c>
      <c r="G88" s="7">
        <f>IF(B88="","",IFERROR(INDEX(Subcontractors!$E$2:$E$101,MATCH(B88,Subcontractors!$A$2:$A$101,0)),0.3))</f>
        <v/>
      </c>
      <c r="H88" s="11">
        <f>IF(B88="","",ROUND(N(C88)*G88,2))</f>
        <v/>
      </c>
      <c r="I88" s="11">
        <f>IF(B88="","",N(C88)+N(D88)+N(E88)-H88)</f>
        <v/>
      </c>
    </row>
    <row r="89">
      <c r="A89" s="8" t="n"/>
      <c r="B89" s="6" t="n"/>
      <c r="C89" s="9" t="n"/>
      <c r="D89" s="9" t="n"/>
      <c r="E89" s="9" t="n"/>
      <c r="F89" s="10">
        <f>IF(A89="","",IF(DAY(A89)&lt;=5,DATE(YEAR(A89),MONTH(A89),5),DATE(YEAR(A89),MONTH(A89)+1,5)))</f>
        <v/>
      </c>
      <c r="G89" s="7">
        <f>IF(B89="","",IFERROR(INDEX(Subcontractors!$E$2:$E$101,MATCH(B89,Subcontractors!$A$2:$A$101,0)),0.3))</f>
        <v/>
      </c>
      <c r="H89" s="11">
        <f>IF(B89="","",ROUND(N(C89)*G89,2))</f>
        <v/>
      </c>
      <c r="I89" s="11">
        <f>IF(B89="","",N(C89)+N(D89)+N(E89)-H89)</f>
        <v/>
      </c>
    </row>
    <row r="90">
      <c r="A90" s="8" t="n"/>
      <c r="B90" s="6" t="n"/>
      <c r="C90" s="9" t="n"/>
      <c r="D90" s="9" t="n"/>
      <c r="E90" s="9" t="n"/>
      <c r="F90" s="10">
        <f>IF(A90="","",IF(DAY(A90)&lt;=5,DATE(YEAR(A90),MONTH(A90),5),DATE(YEAR(A90),MONTH(A90)+1,5)))</f>
        <v/>
      </c>
      <c r="G90" s="7">
        <f>IF(B90="","",IFERROR(INDEX(Subcontractors!$E$2:$E$101,MATCH(B90,Subcontractors!$A$2:$A$101,0)),0.3))</f>
        <v/>
      </c>
      <c r="H90" s="11">
        <f>IF(B90="","",ROUND(N(C90)*G90,2))</f>
        <v/>
      </c>
      <c r="I90" s="11">
        <f>IF(B90="","",N(C90)+N(D90)+N(E90)-H90)</f>
        <v/>
      </c>
    </row>
    <row r="91">
      <c r="A91" s="8" t="n"/>
      <c r="B91" s="6" t="n"/>
      <c r="C91" s="9" t="n"/>
      <c r="D91" s="9" t="n"/>
      <c r="E91" s="9" t="n"/>
      <c r="F91" s="10">
        <f>IF(A91="","",IF(DAY(A91)&lt;=5,DATE(YEAR(A91),MONTH(A91),5),DATE(YEAR(A91),MONTH(A91)+1,5)))</f>
        <v/>
      </c>
      <c r="G91" s="7">
        <f>IF(B91="","",IFERROR(INDEX(Subcontractors!$E$2:$E$101,MATCH(B91,Subcontractors!$A$2:$A$101,0)),0.3))</f>
        <v/>
      </c>
      <c r="H91" s="11">
        <f>IF(B91="","",ROUND(N(C91)*G91,2))</f>
        <v/>
      </c>
      <c r="I91" s="11">
        <f>IF(B91="","",N(C91)+N(D91)+N(E91)-H91)</f>
        <v/>
      </c>
    </row>
    <row r="92">
      <c r="A92" s="8" t="n"/>
      <c r="B92" s="6" t="n"/>
      <c r="C92" s="9" t="n"/>
      <c r="D92" s="9" t="n"/>
      <c r="E92" s="9" t="n"/>
      <c r="F92" s="10">
        <f>IF(A92="","",IF(DAY(A92)&lt;=5,DATE(YEAR(A92),MONTH(A92),5),DATE(YEAR(A92),MONTH(A92)+1,5)))</f>
        <v/>
      </c>
      <c r="G92" s="7">
        <f>IF(B92="","",IFERROR(INDEX(Subcontractors!$E$2:$E$101,MATCH(B92,Subcontractors!$A$2:$A$101,0)),0.3))</f>
        <v/>
      </c>
      <c r="H92" s="11">
        <f>IF(B92="","",ROUND(N(C92)*G92,2))</f>
        <v/>
      </c>
      <c r="I92" s="11">
        <f>IF(B92="","",N(C92)+N(D92)+N(E92)-H92)</f>
        <v/>
      </c>
    </row>
    <row r="93">
      <c r="A93" s="8" t="n"/>
      <c r="B93" s="6" t="n"/>
      <c r="C93" s="9" t="n"/>
      <c r="D93" s="9" t="n"/>
      <c r="E93" s="9" t="n"/>
      <c r="F93" s="10">
        <f>IF(A93="","",IF(DAY(A93)&lt;=5,DATE(YEAR(A93),MONTH(A93),5),DATE(YEAR(A93),MONTH(A93)+1,5)))</f>
        <v/>
      </c>
      <c r="G93" s="7">
        <f>IF(B93="","",IFERROR(INDEX(Subcontractors!$E$2:$E$101,MATCH(B93,Subcontractors!$A$2:$A$101,0)),0.3))</f>
        <v/>
      </c>
      <c r="H93" s="11">
        <f>IF(B93="","",ROUND(N(C93)*G93,2))</f>
        <v/>
      </c>
      <c r="I93" s="11">
        <f>IF(B93="","",N(C93)+N(D93)+N(E93)-H93)</f>
        <v/>
      </c>
    </row>
    <row r="94">
      <c r="A94" s="8" t="n"/>
      <c r="B94" s="6" t="n"/>
      <c r="C94" s="9" t="n"/>
      <c r="D94" s="9" t="n"/>
      <c r="E94" s="9" t="n"/>
      <c r="F94" s="10">
        <f>IF(A94="","",IF(DAY(A94)&lt;=5,DATE(YEAR(A94),MONTH(A94),5),DATE(YEAR(A94),MONTH(A94)+1,5)))</f>
        <v/>
      </c>
      <c r="G94" s="7">
        <f>IF(B94="","",IFERROR(INDEX(Subcontractors!$E$2:$E$101,MATCH(B94,Subcontractors!$A$2:$A$101,0)),0.3))</f>
        <v/>
      </c>
      <c r="H94" s="11">
        <f>IF(B94="","",ROUND(N(C94)*G94,2))</f>
        <v/>
      </c>
      <c r="I94" s="11">
        <f>IF(B94="","",N(C94)+N(D94)+N(E94)-H94)</f>
        <v/>
      </c>
    </row>
    <row r="95">
      <c r="A95" s="8" t="n"/>
      <c r="B95" s="6" t="n"/>
      <c r="C95" s="9" t="n"/>
      <c r="D95" s="9" t="n"/>
      <c r="E95" s="9" t="n"/>
      <c r="F95" s="10">
        <f>IF(A95="","",IF(DAY(A95)&lt;=5,DATE(YEAR(A95),MONTH(A95),5),DATE(YEAR(A95),MONTH(A95)+1,5)))</f>
        <v/>
      </c>
      <c r="G95" s="7">
        <f>IF(B95="","",IFERROR(INDEX(Subcontractors!$E$2:$E$101,MATCH(B95,Subcontractors!$A$2:$A$101,0)),0.3))</f>
        <v/>
      </c>
      <c r="H95" s="11">
        <f>IF(B95="","",ROUND(N(C95)*G95,2))</f>
        <v/>
      </c>
      <c r="I95" s="11">
        <f>IF(B95="","",N(C95)+N(D95)+N(E95)-H95)</f>
        <v/>
      </c>
    </row>
    <row r="96">
      <c r="A96" s="8" t="n"/>
      <c r="B96" s="6" t="n"/>
      <c r="C96" s="9" t="n"/>
      <c r="D96" s="9" t="n"/>
      <c r="E96" s="9" t="n"/>
      <c r="F96" s="10">
        <f>IF(A96="","",IF(DAY(A96)&lt;=5,DATE(YEAR(A96),MONTH(A96),5),DATE(YEAR(A96),MONTH(A96)+1,5)))</f>
        <v/>
      </c>
      <c r="G96" s="7">
        <f>IF(B96="","",IFERROR(INDEX(Subcontractors!$E$2:$E$101,MATCH(B96,Subcontractors!$A$2:$A$101,0)),0.3))</f>
        <v/>
      </c>
      <c r="H96" s="11">
        <f>IF(B96="","",ROUND(N(C96)*G96,2))</f>
        <v/>
      </c>
      <c r="I96" s="11">
        <f>IF(B96="","",N(C96)+N(D96)+N(E96)-H96)</f>
        <v/>
      </c>
    </row>
    <row r="97">
      <c r="A97" s="8" t="n"/>
      <c r="B97" s="6" t="n"/>
      <c r="C97" s="9" t="n"/>
      <c r="D97" s="9" t="n"/>
      <c r="E97" s="9" t="n"/>
      <c r="F97" s="10">
        <f>IF(A97="","",IF(DAY(A97)&lt;=5,DATE(YEAR(A97),MONTH(A97),5),DATE(YEAR(A97),MONTH(A97)+1,5)))</f>
        <v/>
      </c>
      <c r="G97" s="7">
        <f>IF(B97="","",IFERROR(INDEX(Subcontractors!$E$2:$E$101,MATCH(B97,Subcontractors!$A$2:$A$101,0)),0.3))</f>
        <v/>
      </c>
      <c r="H97" s="11">
        <f>IF(B97="","",ROUND(N(C97)*G97,2))</f>
        <v/>
      </c>
      <c r="I97" s="11">
        <f>IF(B97="","",N(C97)+N(D97)+N(E97)-H97)</f>
        <v/>
      </c>
    </row>
    <row r="98">
      <c r="A98" s="8" t="n"/>
      <c r="B98" s="6" t="n"/>
      <c r="C98" s="9" t="n"/>
      <c r="D98" s="9" t="n"/>
      <c r="E98" s="9" t="n"/>
      <c r="F98" s="10">
        <f>IF(A98="","",IF(DAY(A98)&lt;=5,DATE(YEAR(A98),MONTH(A98),5),DATE(YEAR(A98),MONTH(A98)+1,5)))</f>
        <v/>
      </c>
      <c r="G98" s="7">
        <f>IF(B98="","",IFERROR(INDEX(Subcontractors!$E$2:$E$101,MATCH(B98,Subcontractors!$A$2:$A$101,0)),0.3))</f>
        <v/>
      </c>
      <c r="H98" s="11">
        <f>IF(B98="","",ROUND(N(C98)*G98,2))</f>
        <v/>
      </c>
      <c r="I98" s="11">
        <f>IF(B98="","",N(C98)+N(D98)+N(E98)-H98)</f>
        <v/>
      </c>
    </row>
    <row r="99">
      <c r="A99" s="8" t="n"/>
      <c r="B99" s="6" t="n"/>
      <c r="C99" s="9" t="n"/>
      <c r="D99" s="9" t="n"/>
      <c r="E99" s="9" t="n"/>
      <c r="F99" s="10">
        <f>IF(A99="","",IF(DAY(A99)&lt;=5,DATE(YEAR(A99),MONTH(A99),5),DATE(YEAR(A99),MONTH(A99)+1,5)))</f>
        <v/>
      </c>
      <c r="G99" s="7">
        <f>IF(B99="","",IFERROR(INDEX(Subcontractors!$E$2:$E$101,MATCH(B99,Subcontractors!$A$2:$A$101,0)),0.3))</f>
        <v/>
      </c>
      <c r="H99" s="11">
        <f>IF(B99="","",ROUND(N(C99)*G99,2))</f>
        <v/>
      </c>
      <c r="I99" s="11">
        <f>IF(B99="","",N(C99)+N(D99)+N(E99)-H99)</f>
        <v/>
      </c>
    </row>
    <row r="100">
      <c r="A100" s="8" t="n"/>
      <c r="B100" s="6" t="n"/>
      <c r="C100" s="9" t="n"/>
      <c r="D100" s="9" t="n"/>
      <c r="E100" s="9" t="n"/>
      <c r="F100" s="10">
        <f>IF(A100="","",IF(DAY(A100)&lt;=5,DATE(YEAR(A100),MONTH(A100),5),DATE(YEAR(A100),MONTH(A100)+1,5)))</f>
        <v/>
      </c>
      <c r="G100" s="7">
        <f>IF(B100="","",IFERROR(INDEX(Subcontractors!$E$2:$E$101,MATCH(B100,Subcontractors!$A$2:$A$101,0)),0.3))</f>
        <v/>
      </c>
      <c r="H100" s="11">
        <f>IF(B100="","",ROUND(N(C100)*G100,2))</f>
        <v/>
      </c>
      <c r="I100" s="11">
        <f>IF(B100="","",N(C100)+N(D100)+N(E100)-H100)</f>
        <v/>
      </c>
    </row>
    <row r="101">
      <c r="A101" s="8" t="n"/>
      <c r="B101" s="6" t="n"/>
      <c r="C101" s="9" t="n"/>
      <c r="D101" s="9" t="n"/>
      <c r="E101" s="9" t="n"/>
      <c r="F101" s="10">
        <f>IF(A101="","",IF(DAY(A101)&lt;=5,DATE(YEAR(A101),MONTH(A101),5),DATE(YEAR(A101),MONTH(A101)+1,5)))</f>
        <v/>
      </c>
      <c r="G101" s="7">
        <f>IF(B101="","",IFERROR(INDEX(Subcontractors!$E$2:$E$101,MATCH(B101,Subcontractors!$A$2:$A$101,0)),0.3))</f>
        <v/>
      </c>
      <c r="H101" s="11">
        <f>IF(B101="","",ROUND(N(C101)*G101,2))</f>
        <v/>
      </c>
      <c r="I101" s="11">
        <f>IF(B101="","",N(C101)+N(D101)+N(E101)-H101)</f>
        <v/>
      </c>
    </row>
    <row r="102">
      <c r="A102" s="8" t="n"/>
      <c r="B102" s="6" t="n"/>
      <c r="C102" s="9" t="n"/>
      <c r="D102" s="9" t="n"/>
      <c r="E102" s="9" t="n"/>
      <c r="F102" s="10">
        <f>IF(A102="","",IF(DAY(A102)&lt;=5,DATE(YEAR(A102),MONTH(A102),5),DATE(YEAR(A102),MONTH(A102)+1,5)))</f>
        <v/>
      </c>
      <c r="G102" s="7">
        <f>IF(B102="","",IFERROR(INDEX(Subcontractors!$E$2:$E$101,MATCH(B102,Subcontractors!$A$2:$A$101,0)),0.3))</f>
        <v/>
      </c>
      <c r="H102" s="11">
        <f>IF(B102="","",ROUND(N(C102)*G102,2))</f>
        <v/>
      </c>
      <c r="I102" s="11">
        <f>IF(B102="","",N(C102)+N(D102)+N(E102)-H102)</f>
        <v/>
      </c>
    </row>
    <row r="103">
      <c r="A103" s="8" t="n"/>
      <c r="B103" s="6" t="n"/>
      <c r="C103" s="9" t="n"/>
      <c r="D103" s="9" t="n"/>
      <c r="E103" s="9" t="n"/>
      <c r="F103" s="10">
        <f>IF(A103="","",IF(DAY(A103)&lt;=5,DATE(YEAR(A103),MONTH(A103),5),DATE(YEAR(A103),MONTH(A103)+1,5)))</f>
        <v/>
      </c>
      <c r="G103" s="7">
        <f>IF(B103="","",IFERROR(INDEX(Subcontractors!$E$2:$E$101,MATCH(B103,Subcontractors!$A$2:$A$101,0)),0.3))</f>
        <v/>
      </c>
      <c r="H103" s="11">
        <f>IF(B103="","",ROUND(N(C103)*G103,2))</f>
        <v/>
      </c>
      <c r="I103" s="11">
        <f>IF(B103="","",N(C103)+N(D103)+N(E103)-H103)</f>
        <v/>
      </c>
    </row>
    <row r="104">
      <c r="A104" s="8" t="n"/>
      <c r="B104" s="6" t="n"/>
      <c r="C104" s="9" t="n"/>
      <c r="D104" s="9" t="n"/>
      <c r="E104" s="9" t="n"/>
      <c r="F104" s="10">
        <f>IF(A104="","",IF(DAY(A104)&lt;=5,DATE(YEAR(A104),MONTH(A104),5),DATE(YEAR(A104),MONTH(A104)+1,5)))</f>
        <v/>
      </c>
      <c r="G104" s="7">
        <f>IF(B104="","",IFERROR(INDEX(Subcontractors!$E$2:$E$101,MATCH(B104,Subcontractors!$A$2:$A$101,0)),0.3))</f>
        <v/>
      </c>
      <c r="H104" s="11">
        <f>IF(B104="","",ROUND(N(C104)*G104,2))</f>
        <v/>
      </c>
      <c r="I104" s="11">
        <f>IF(B104="","",N(C104)+N(D104)+N(E104)-H104)</f>
        <v/>
      </c>
    </row>
    <row r="105">
      <c r="A105" s="8" t="n"/>
      <c r="B105" s="6" t="n"/>
      <c r="C105" s="9" t="n"/>
      <c r="D105" s="9" t="n"/>
      <c r="E105" s="9" t="n"/>
      <c r="F105" s="10">
        <f>IF(A105="","",IF(DAY(A105)&lt;=5,DATE(YEAR(A105),MONTH(A105),5),DATE(YEAR(A105),MONTH(A105)+1,5)))</f>
        <v/>
      </c>
      <c r="G105" s="7">
        <f>IF(B105="","",IFERROR(INDEX(Subcontractors!$E$2:$E$101,MATCH(B105,Subcontractors!$A$2:$A$101,0)),0.3))</f>
        <v/>
      </c>
      <c r="H105" s="11">
        <f>IF(B105="","",ROUND(N(C105)*G105,2))</f>
        <v/>
      </c>
      <c r="I105" s="11">
        <f>IF(B105="","",N(C105)+N(D105)+N(E105)-H105)</f>
        <v/>
      </c>
    </row>
    <row r="106">
      <c r="A106" s="8" t="n"/>
      <c r="B106" s="6" t="n"/>
      <c r="C106" s="9" t="n"/>
      <c r="D106" s="9" t="n"/>
      <c r="E106" s="9" t="n"/>
      <c r="F106" s="10">
        <f>IF(A106="","",IF(DAY(A106)&lt;=5,DATE(YEAR(A106),MONTH(A106),5),DATE(YEAR(A106),MONTH(A106)+1,5)))</f>
        <v/>
      </c>
      <c r="G106" s="7">
        <f>IF(B106="","",IFERROR(INDEX(Subcontractors!$E$2:$E$101,MATCH(B106,Subcontractors!$A$2:$A$101,0)),0.3))</f>
        <v/>
      </c>
      <c r="H106" s="11">
        <f>IF(B106="","",ROUND(N(C106)*G106,2))</f>
        <v/>
      </c>
      <c r="I106" s="11">
        <f>IF(B106="","",N(C106)+N(D106)+N(E106)-H106)</f>
        <v/>
      </c>
    </row>
    <row r="107">
      <c r="A107" s="8" t="n"/>
      <c r="B107" s="6" t="n"/>
      <c r="C107" s="9" t="n"/>
      <c r="D107" s="9" t="n"/>
      <c r="E107" s="9" t="n"/>
      <c r="F107" s="10">
        <f>IF(A107="","",IF(DAY(A107)&lt;=5,DATE(YEAR(A107),MONTH(A107),5),DATE(YEAR(A107),MONTH(A107)+1,5)))</f>
        <v/>
      </c>
      <c r="G107" s="7">
        <f>IF(B107="","",IFERROR(INDEX(Subcontractors!$E$2:$E$101,MATCH(B107,Subcontractors!$A$2:$A$101,0)),0.3))</f>
        <v/>
      </c>
      <c r="H107" s="11">
        <f>IF(B107="","",ROUND(N(C107)*G107,2))</f>
        <v/>
      </c>
      <c r="I107" s="11">
        <f>IF(B107="","",N(C107)+N(D107)+N(E107)-H107)</f>
        <v/>
      </c>
    </row>
    <row r="108">
      <c r="A108" s="8" t="n"/>
      <c r="B108" s="6" t="n"/>
      <c r="C108" s="9" t="n"/>
      <c r="D108" s="9" t="n"/>
      <c r="E108" s="9" t="n"/>
      <c r="F108" s="10">
        <f>IF(A108="","",IF(DAY(A108)&lt;=5,DATE(YEAR(A108),MONTH(A108),5),DATE(YEAR(A108),MONTH(A108)+1,5)))</f>
        <v/>
      </c>
      <c r="G108" s="7">
        <f>IF(B108="","",IFERROR(INDEX(Subcontractors!$E$2:$E$101,MATCH(B108,Subcontractors!$A$2:$A$101,0)),0.3))</f>
        <v/>
      </c>
      <c r="H108" s="11">
        <f>IF(B108="","",ROUND(N(C108)*G108,2))</f>
        <v/>
      </c>
      <c r="I108" s="11">
        <f>IF(B108="","",N(C108)+N(D108)+N(E108)-H108)</f>
        <v/>
      </c>
    </row>
    <row r="109">
      <c r="A109" s="8" t="n"/>
      <c r="B109" s="6" t="n"/>
      <c r="C109" s="9" t="n"/>
      <c r="D109" s="9" t="n"/>
      <c r="E109" s="9" t="n"/>
      <c r="F109" s="10">
        <f>IF(A109="","",IF(DAY(A109)&lt;=5,DATE(YEAR(A109),MONTH(A109),5),DATE(YEAR(A109),MONTH(A109)+1,5)))</f>
        <v/>
      </c>
      <c r="G109" s="7">
        <f>IF(B109="","",IFERROR(INDEX(Subcontractors!$E$2:$E$101,MATCH(B109,Subcontractors!$A$2:$A$101,0)),0.3))</f>
        <v/>
      </c>
      <c r="H109" s="11">
        <f>IF(B109="","",ROUND(N(C109)*G109,2))</f>
        <v/>
      </c>
      <c r="I109" s="11">
        <f>IF(B109="","",N(C109)+N(D109)+N(E109)-H109)</f>
        <v/>
      </c>
    </row>
    <row r="110">
      <c r="A110" s="8" t="n"/>
      <c r="B110" s="6" t="n"/>
      <c r="C110" s="9" t="n"/>
      <c r="D110" s="9" t="n"/>
      <c r="E110" s="9" t="n"/>
      <c r="F110" s="10">
        <f>IF(A110="","",IF(DAY(A110)&lt;=5,DATE(YEAR(A110),MONTH(A110),5),DATE(YEAR(A110),MONTH(A110)+1,5)))</f>
        <v/>
      </c>
      <c r="G110" s="7">
        <f>IF(B110="","",IFERROR(INDEX(Subcontractors!$E$2:$E$101,MATCH(B110,Subcontractors!$A$2:$A$101,0)),0.3))</f>
        <v/>
      </c>
      <c r="H110" s="11">
        <f>IF(B110="","",ROUND(N(C110)*G110,2))</f>
        <v/>
      </c>
      <c r="I110" s="11">
        <f>IF(B110="","",N(C110)+N(D110)+N(E110)-H110)</f>
        <v/>
      </c>
    </row>
    <row r="111">
      <c r="A111" s="8" t="n"/>
      <c r="B111" s="6" t="n"/>
      <c r="C111" s="9" t="n"/>
      <c r="D111" s="9" t="n"/>
      <c r="E111" s="9" t="n"/>
      <c r="F111" s="10">
        <f>IF(A111="","",IF(DAY(A111)&lt;=5,DATE(YEAR(A111),MONTH(A111),5),DATE(YEAR(A111),MONTH(A111)+1,5)))</f>
        <v/>
      </c>
      <c r="G111" s="7">
        <f>IF(B111="","",IFERROR(INDEX(Subcontractors!$E$2:$E$101,MATCH(B111,Subcontractors!$A$2:$A$101,0)),0.3))</f>
        <v/>
      </c>
      <c r="H111" s="11">
        <f>IF(B111="","",ROUND(N(C111)*G111,2))</f>
        <v/>
      </c>
      <c r="I111" s="11">
        <f>IF(B111="","",N(C111)+N(D111)+N(E111)-H111)</f>
        <v/>
      </c>
    </row>
    <row r="112">
      <c r="A112" s="8" t="n"/>
      <c r="B112" s="6" t="n"/>
      <c r="C112" s="9" t="n"/>
      <c r="D112" s="9" t="n"/>
      <c r="E112" s="9" t="n"/>
      <c r="F112" s="10">
        <f>IF(A112="","",IF(DAY(A112)&lt;=5,DATE(YEAR(A112),MONTH(A112),5),DATE(YEAR(A112),MONTH(A112)+1,5)))</f>
        <v/>
      </c>
      <c r="G112" s="7">
        <f>IF(B112="","",IFERROR(INDEX(Subcontractors!$E$2:$E$101,MATCH(B112,Subcontractors!$A$2:$A$101,0)),0.3))</f>
        <v/>
      </c>
      <c r="H112" s="11">
        <f>IF(B112="","",ROUND(N(C112)*G112,2))</f>
        <v/>
      </c>
      <c r="I112" s="11">
        <f>IF(B112="","",N(C112)+N(D112)+N(E112)-H112)</f>
        <v/>
      </c>
    </row>
    <row r="113">
      <c r="A113" s="8" t="n"/>
      <c r="B113" s="6" t="n"/>
      <c r="C113" s="9" t="n"/>
      <c r="D113" s="9" t="n"/>
      <c r="E113" s="9" t="n"/>
      <c r="F113" s="10">
        <f>IF(A113="","",IF(DAY(A113)&lt;=5,DATE(YEAR(A113),MONTH(A113),5),DATE(YEAR(A113),MONTH(A113)+1,5)))</f>
        <v/>
      </c>
      <c r="G113" s="7">
        <f>IF(B113="","",IFERROR(INDEX(Subcontractors!$E$2:$E$101,MATCH(B113,Subcontractors!$A$2:$A$101,0)),0.3))</f>
        <v/>
      </c>
      <c r="H113" s="11">
        <f>IF(B113="","",ROUND(N(C113)*G113,2))</f>
        <v/>
      </c>
      <c r="I113" s="11">
        <f>IF(B113="","",N(C113)+N(D113)+N(E113)-H113)</f>
        <v/>
      </c>
    </row>
    <row r="114">
      <c r="A114" s="8" t="n"/>
      <c r="B114" s="6" t="n"/>
      <c r="C114" s="9" t="n"/>
      <c r="D114" s="9" t="n"/>
      <c r="E114" s="9" t="n"/>
      <c r="F114" s="10">
        <f>IF(A114="","",IF(DAY(A114)&lt;=5,DATE(YEAR(A114),MONTH(A114),5),DATE(YEAR(A114),MONTH(A114)+1,5)))</f>
        <v/>
      </c>
      <c r="G114" s="7">
        <f>IF(B114="","",IFERROR(INDEX(Subcontractors!$E$2:$E$101,MATCH(B114,Subcontractors!$A$2:$A$101,0)),0.3))</f>
        <v/>
      </c>
      <c r="H114" s="11">
        <f>IF(B114="","",ROUND(N(C114)*G114,2))</f>
        <v/>
      </c>
      <c r="I114" s="11">
        <f>IF(B114="","",N(C114)+N(D114)+N(E114)-H114)</f>
        <v/>
      </c>
    </row>
    <row r="115">
      <c r="A115" s="8" t="n"/>
      <c r="B115" s="6" t="n"/>
      <c r="C115" s="9" t="n"/>
      <c r="D115" s="9" t="n"/>
      <c r="E115" s="9" t="n"/>
      <c r="F115" s="10">
        <f>IF(A115="","",IF(DAY(A115)&lt;=5,DATE(YEAR(A115),MONTH(A115),5),DATE(YEAR(A115),MONTH(A115)+1,5)))</f>
        <v/>
      </c>
      <c r="G115" s="7">
        <f>IF(B115="","",IFERROR(INDEX(Subcontractors!$E$2:$E$101,MATCH(B115,Subcontractors!$A$2:$A$101,0)),0.3))</f>
        <v/>
      </c>
      <c r="H115" s="11">
        <f>IF(B115="","",ROUND(N(C115)*G115,2))</f>
        <v/>
      </c>
      <c r="I115" s="11">
        <f>IF(B115="","",N(C115)+N(D115)+N(E115)-H115)</f>
        <v/>
      </c>
    </row>
    <row r="116">
      <c r="A116" s="8" t="n"/>
      <c r="B116" s="6" t="n"/>
      <c r="C116" s="9" t="n"/>
      <c r="D116" s="9" t="n"/>
      <c r="E116" s="9" t="n"/>
      <c r="F116" s="10">
        <f>IF(A116="","",IF(DAY(A116)&lt;=5,DATE(YEAR(A116),MONTH(A116),5),DATE(YEAR(A116),MONTH(A116)+1,5)))</f>
        <v/>
      </c>
      <c r="G116" s="7">
        <f>IF(B116="","",IFERROR(INDEX(Subcontractors!$E$2:$E$101,MATCH(B116,Subcontractors!$A$2:$A$101,0)),0.3))</f>
        <v/>
      </c>
      <c r="H116" s="11">
        <f>IF(B116="","",ROUND(N(C116)*G116,2))</f>
        <v/>
      </c>
      <c r="I116" s="11">
        <f>IF(B116="","",N(C116)+N(D116)+N(E116)-H116)</f>
        <v/>
      </c>
    </row>
    <row r="117">
      <c r="A117" s="8" t="n"/>
      <c r="B117" s="6" t="n"/>
      <c r="C117" s="9" t="n"/>
      <c r="D117" s="9" t="n"/>
      <c r="E117" s="9" t="n"/>
      <c r="F117" s="10">
        <f>IF(A117="","",IF(DAY(A117)&lt;=5,DATE(YEAR(A117),MONTH(A117),5),DATE(YEAR(A117),MONTH(A117)+1,5)))</f>
        <v/>
      </c>
      <c r="G117" s="7">
        <f>IF(B117="","",IFERROR(INDEX(Subcontractors!$E$2:$E$101,MATCH(B117,Subcontractors!$A$2:$A$101,0)),0.3))</f>
        <v/>
      </c>
      <c r="H117" s="11">
        <f>IF(B117="","",ROUND(N(C117)*G117,2))</f>
        <v/>
      </c>
      <c r="I117" s="11">
        <f>IF(B117="","",N(C117)+N(D117)+N(E117)-H117)</f>
        <v/>
      </c>
    </row>
    <row r="118">
      <c r="A118" s="8" t="n"/>
      <c r="B118" s="6" t="n"/>
      <c r="C118" s="9" t="n"/>
      <c r="D118" s="9" t="n"/>
      <c r="E118" s="9" t="n"/>
      <c r="F118" s="10">
        <f>IF(A118="","",IF(DAY(A118)&lt;=5,DATE(YEAR(A118),MONTH(A118),5),DATE(YEAR(A118),MONTH(A118)+1,5)))</f>
        <v/>
      </c>
      <c r="G118" s="7">
        <f>IF(B118="","",IFERROR(INDEX(Subcontractors!$E$2:$E$101,MATCH(B118,Subcontractors!$A$2:$A$101,0)),0.3))</f>
        <v/>
      </c>
      <c r="H118" s="11">
        <f>IF(B118="","",ROUND(N(C118)*G118,2))</f>
        <v/>
      </c>
      <c r="I118" s="11">
        <f>IF(B118="","",N(C118)+N(D118)+N(E118)-H118)</f>
        <v/>
      </c>
    </row>
    <row r="119">
      <c r="A119" s="8" t="n"/>
      <c r="B119" s="6" t="n"/>
      <c r="C119" s="9" t="n"/>
      <c r="D119" s="9" t="n"/>
      <c r="E119" s="9" t="n"/>
      <c r="F119" s="10">
        <f>IF(A119="","",IF(DAY(A119)&lt;=5,DATE(YEAR(A119),MONTH(A119),5),DATE(YEAR(A119),MONTH(A119)+1,5)))</f>
        <v/>
      </c>
      <c r="G119" s="7">
        <f>IF(B119="","",IFERROR(INDEX(Subcontractors!$E$2:$E$101,MATCH(B119,Subcontractors!$A$2:$A$101,0)),0.3))</f>
        <v/>
      </c>
      <c r="H119" s="11">
        <f>IF(B119="","",ROUND(N(C119)*G119,2))</f>
        <v/>
      </c>
      <c r="I119" s="11">
        <f>IF(B119="","",N(C119)+N(D119)+N(E119)-H119)</f>
        <v/>
      </c>
    </row>
    <row r="120">
      <c r="A120" s="8" t="n"/>
      <c r="B120" s="6" t="n"/>
      <c r="C120" s="9" t="n"/>
      <c r="D120" s="9" t="n"/>
      <c r="E120" s="9" t="n"/>
      <c r="F120" s="10">
        <f>IF(A120="","",IF(DAY(A120)&lt;=5,DATE(YEAR(A120),MONTH(A120),5),DATE(YEAR(A120),MONTH(A120)+1,5)))</f>
        <v/>
      </c>
      <c r="G120" s="7">
        <f>IF(B120="","",IFERROR(INDEX(Subcontractors!$E$2:$E$101,MATCH(B120,Subcontractors!$A$2:$A$101,0)),0.3))</f>
        <v/>
      </c>
      <c r="H120" s="11">
        <f>IF(B120="","",ROUND(N(C120)*G120,2))</f>
        <v/>
      </c>
      <c r="I120" s="11">
        <f>IF(B120="","",N(C120)+N(D120)+N(E120)-H120)</f>
        <v/>
      </c>
    </row>
    <row r="121">
      <c r="A121" s="8" t="n"/>
      <c r="B121" s="6" t="n"/>
      <c r="C121" s="9" t="n"/>
      <c r="D121" s="9" t="n"/>
      <c r="E121" s="9" t="n"/>
      <c r="F121" s="10">
        <f>IF(A121="","",IF(DAY(A121)&lt;=5,DATE(YEAR(A121),MONTH(A121),5),DATE(YEAR(A121),MONTH(A121)+1,5)))</f>
        <v/>
      </c>
      <c r="G121" s="7">
        <f>IF(B121="","",IFERROR(INDEX(Subcontractors!$E$2:$E$101,MATCH(B121,Subcontractors!$A$2:$A$101,0)),0.3))</f>
        <v/>
      </c>
      <c r="H121" s="11">
        <f>IF(B121="","",ROUND(N(C121)*G121,2))</f>
        <v/>
      </c>
      <c r="I121" s="11">
        <f>IF(B121="","",N(C121)+N(D121)+N(E121)-H121)</f>
        <v/>
      </c>
    </row>
    <row r="122">
      <c r="A122" s="8" t="n"/>
      <c r="B122" s="6" t="n"/>
      <c r="C122" s="9" t="n"/>
      <c r="D122" s="9" t="n"/>
      <c r="E122" s="9" t="n"/>
      <c r="F122" s="10">
        <f>IF(A122="","",IF(DAY(A122)&lt;=5,DATE(YEAR(A122),MONTH(A122),5),DATE(YEAR(A122),MONTH(A122)+1,5)))</f>
        <v/>
      </c>
      <c r="G122" s="7">
        <f>IF(B122="","",IFERROR(INDEX(Subcontractors!$E$2:$E$101,MATCH(B122,Subcontractors!$A$2:$A$101,0)),0.3))</f>
        <v/>
      </c>
      <c r="H122" s="11">
        <f>IF(B122="","",ROUND(N(C122)*G122,2))</f>
        <v/>
      </c>
      <c r="I122" s="11">
        <f>IF(B122="","",N(C122)+N(D122)+N(E122)-H122)</f>
        <v/>
      </c>
    </row>
    <row r="123">
      <c r="A123" s="8" t="n"/>
      <c r="B123" s="6" t="n"/>
      <c r="C123" s="9" t="n"/>
      <c r="D123" s="9" t="n"/>
      <c r="E123" s="9" t="n"/>
      <c r="F123" s="10">
        <f>IF(A123="","",IF(DAY(A123)&lt;=5,DATE(YEAR(A123),MONTH(A123),5),DATE(YEAR(A123),MONTH(A123)+1,5)))</f>
        <v/>
      </c>
      <c r="G123" s="7">
        <f>IF(B123="","",IFERROR(INDEX(Subcontractors!$E$2:$E$101,MATCH(B123,Subcontractors!$A$2:$A$101,0)),0.3))</f>
        <v/>
      </c>
      <c r="H123" s="11">
        <f>IF(B123="","",ROUND(N(C123)*G123,2))</f>
        <v/>
      </c>
      <c r="I123" s="11">
        <f>IF(B123="","",N(C123)+N(D123)+N(E123)-H123)</f>
        <v/>
      </c>
    </row>
    <row r="124">
      <c r="A124" s="8" t="n"/>
      <c r="B124" s="6" t="n"/>
      <c r="C124" s="9" t="n"/>
      <c r="D124" s="9" t="n"/>
      <c r="E124" s="9" t="n"/>
      <c r="F124" s="10">
        <f>IF(A124="","",IF(DAY(A124)&lt;=5,DATE(YEAR(A124),MONTH(A124),5),DATE(YEAR(A124),MONTH(A124)+1,5)))</f>
        <v/>
      </c>
      <c r="G124" s="7">
        <f>IF(B124="","",IFERROR(INDEX(Subcontractors!$E$2:$E$101,MATCH(B124,Subcontractors!$A$2:$A$101,0)),0.3))</f>
        <v/>
      </c>
      <c r="H124" s="11">
        <f>IF(B124="","",ROUND(N(C124)*G124,2))</f>
        <v/>
      </c>
      <c r="I124" s="11">
        <f>IF(B124="","",N(C124)+N(D124)+N(E124)-H124)</f>
        <v/>
      </c>
    </row>
    <row r="125">
      <c r="A125" s="8" t="n"/>
      <c r="B125" s="6" t="n"/>
      <c r="C125" s="9" t="n"/>
      <c r="D125" s="9" t="n"/>
      <c r="E125" s="9" t="n"/>
      <c r="F125" s="10">
        <f>IF(A125="","",IF(DAY(A125)&lt;=5,DATE(YEAR(A125),MONTH(A125),5),DATE(YEAR(A125),MONTH(A125)+1,5)))</f>
        <v/>
      </c>
      <c r="G125" s="7">
        <f>IF(B125="","",IFERROR(INDEX(Subcontractors!$E$2:$E$101,MATCH(B125,Subcontractors!$A$2:$A$101,0)),0.3))</f>
        <v/>
      </c>
      <c r="H125" s="11">
        <f>IF(B125="","",ROUND(N(C125)*G125,2))</f>
        <v/>
      </c>
      <c r="I125" s="11">
        <f>IF(B125="","",N(C125)+N(D125)+N(E125)-H125)</f>
        <v/>
      </c>
    </row>
    <row r="126">
      <c r="A126" s="8" t="n"/>
      <c r="B126" s="6" t="n"/>
      <c r="C126" s="9" t="n"/>
      <c r="D126" s="9" t="n"/>
      <c r="E126" s="9" t="n"/>
      <c r="F126" s="10">
        <f>IF(A126="","",IF(DAY(A126)&lt;=5,DATE(YEAR(A126),MONTH(A126),5),DATE(YEAR(A126),MONTH(A126)+1,5)))</f>
        <v/>
      </c>
      <c r="G126" s="7">
        <f>IF(B126="","",IFERROR(INDEX(Subcontractors!$E$2:$E$101,MATCH(B126,Subcontractors!$A$2:$A$101,0)),0.3))</f>
        <v/>
      </c>
      <c r="H126" s="11">
        <f>IF(B126="","",ROUND(N(C126)*G126,2))</f>
        <v/>
      </c>
      <c r="I126" s="11">
        <f>IF(B126="","",N(C126)+N(D126)+N(E126)-H126)</f>
        <v/>
      </c>
    </row>
    <row r="127">
      <c r="A127" s="8" t="n"/>
      <c r="B127" s="6" t="n"/>
      <c r="C127" s="9" t="n"/>
      <c r="D127" s="9" t="n"/>
      <c r="E127" s="9" t="n"/>
      <c r="F127" s="10">
        <f>IF(A127="","",IF(DAY(A127)&lt;=5,DATE(YEAR(A127),MONTH(A127),5),DATE(YEAR(A127),MONTH(A127)+1,5)))</f>
        <v/>
      </c>
      <c r="G127" s="7">
        <f>IF(B127="","",IFERROR(INDEX(Subcontractors!$E$2:$E$101,MATCH(B127,Subcontractors!$A$2:$A$101,0)),0.3))</f>
        <v/>
      </c>
      <c r="H127" s="11">
        <f>IF(B127="","",ROUND(N(C127)*G127,2))</f>
        <v/>
      </c>
      <c r="I127" s="11">
        <f>IF(B127="","",N(C127)+N(D127)+N(E127)-H127)</f>
        <v/>
      </c>
    </row>
    <row r="128">
      <c r="A128" s="8" t="n"/>
      <c r="B128" s="6" t="n"/>
      <c r="C128" s="9" t="n"/>
      <c r="D128" s="9" t="n"/>
      <c r="E128" s="9" t="n"/>
      <c r="F128" s="10">
        <f>IF(A128="","",IF(DAY(A128)&lt;=5,DATE(YEAR(A128),MONTH(A128),5),DATE(YEAR(A128),MONTH(A128)+1,5)))</f>
        <v/>
      </c>
      <c r="G128" s="7">
        <f>IF(B128="","",IFERROR(INDEX(Subcontractors!$E$2:$E$101,MATCH(B128,Subcontractors!$A$2:$A$101,0)),0.3))</f>
        <v/>
      </c>
      <c r="H128" s="11">
        <f>IF(B128="","",ROUND(N(C128)*G128,2))</f>
        <v/>
      </c>
      <c r="I128" s="11">
        <f>IF(B128="","",N(C128)+N(D128)+N(E128)-H128)</f>
        <v/>
      </c>
    </row>
    <row r="129">
      <c r="A129" s="8" t="n"/>
      <c r="B129" s="6" t="n"/>
      <c r="C129" s="9" t="n"/>
      <c r="D129" s="9" t="n"/>
      <c r="E129" s="9" t="n"/>
      <c r="F129" s="10">
        <f>IF(A129="","",IF(DAY(A129)&lt;=5,DATE(YEAR(A129),MONTH(A129),5),DATE(YEAR(A129),MONTH(A129)+1,5)))</f>
        <v/>
      </c>
      <c r="G129" s="7">
        <f>IF(B129="","",IFERROR(INDEX(Subcontractors!$E$2:$E$101,MATCH(B129,Subcontractors!$A$2:$A$101,0)),0.3))</f>
        <v/>
      </c>
      <c r="H129" s="11">
        <f>IF(B129="","",ROUND(N(C129)*G129,2))</f>
        <v/>
      </c>
      <c r="I129" s="11">
        <f>IF(B129="","",N(C129)+N(D129)+N(E129)-H129)</f>
        <v/>
      </c>
    </row>
    <row r="130">
      <c r="A130" s="8" t="n"/>
      <c r="B130" s="6" t="n"/>
      <c r="C130" s="9" t="n"/>
      <c r="D130" s="9" t="n"/>
      <c r="E130" s="9" t="n"/>
      <c r="F130" s="10">
        <f>IF(A130="","",IF(DAY(A130)&lt;=5,DATE(YEAR(A130),MONTH(A130),5),DATE(YEAR(A130),MONTH(A130)+1,5)))</f>
        <v/>
      </c>
      <c r="G130" s="7">
        <f>IF(B130="","",IFERROR(INDEX(Subcontractors!$E$2:$E$101,MATCH(B130,Subcontractors!$A$2:$A$101,0)),0.3))</f>
        <v/>
      </c>
      <c r="H130" s="11">
        <f>IF(B130="","",ROUND(N(C130)*G130,2))</f>
        <v/>
      </c>
      <c r="I130" s="11">
        <f>IF(B130="","",N(C130)+N(D130)+N(E130)-H130)</f>
        <v/>
      </c>
    </row>
    <row r="131">
      <c r="A131" s="8" t="n"/>
      <c r="B131" s="6" t="n"/>
      <c r="C131" s="9" t="n"/>
      <c r="D131" s="9" t="n"/>
      <c r="E131" s="9" t="n"/>
      <c r="F131" s="10">
        <f>IF(A131="","",IF(DAY(A131)&lt;=5,DATE(YEAR(A131),MONTH(A131),5),DATE(YEAR(A131),MONTH(A131)+1,5)))</f>
        <v/>
      </c>
      <c r="G131" s="7">
        <f>IF(B131="","",IFERROR(INDEX(Subcontractors!$E$2:$E$101,MATCH(B131,Subcontractors!$A$2:$A$101,0)),0.3))</f>
        <v/>
      </c>
      <c r="H131" s="11">
        <f>IF(B131="","",ROUND(N(C131)*G131,2))</f>
        <v/>
      </c>
      <c r="I131" s="11">
        <f>IF(B131="","",N(C131)+N(D131)+N(E131)-H131)</f>
        <v/>
      </c>
    </row>
    <row r="132">
      <c r="A132" s="8" t="n"/>
      <c r="B132" s="6" t="n"/>
      <c r="C132" s="9" t="n"/>
      <c r="D132" s="9" t="n"/>
      <c r="E132" s="9" t="n"/>
      <c r="F132" s="10">
        <f>IF(A132="","",IF(DAY(A132)&lt;=5,DATE(YEAR(A132),MONTH(A132),5),DATE(YEAR(A132),MONTH(A132)+1,5)))</f>
        <v/>
      </c>
      <c r="G132" s="7">
        <f>IF(B132="","",IFERROR(INDEX(Subcontractors!$E$2:$E$101,MATCH(B132,Subcontractors!$A$2:$A$101,0)),0.3))</f>
        <v/>
      </c>
      <c r="H132" s="11">
        <f>IF(B132="","",ROUND(N(C132)*G132,2))</f>
        <v/>
      </c>
      <c r="I132" s="11">
        <f>IF(B132="","",N(C132)+N(D132)+N(E132)-H132)</f>
        <v/>
      </c>
    </row>
    <row r="133">
      <c r="A133" s="8" t="n"/>
      <c r="B133" s="6" t="n"/>
      <c r="C133" s="9" t="n"/>
      <c r="D133" s="9" t="n"/>
      <c r="E133" s="9" t="n"/>
      <c r="F133" s="10">
        <f>IF(A133="","",IF(DAY(A133)&lt;=5,DATE(YEAR(A133),MONTH(A133),5),DATE(YEAR(A133),MONTH(A133)+1,5)))</f>
        <v/>
      </c>
      <c r="G133" s="7">
        <f>IF(B133="","",IFERROR(INDEX(Subcontractors!$E$2:$E$101,MATCH(B133,Subcontractors!$A$2:$A$101,0)),0.3))</f>
        <v/>
      </c>
      <c r="H133" s="11">
        <f>IF(B133="","",ROUND(N(C133)*G133,2))</f>
        <v/>
      </c>
      <c r="I133" s="11">
        <f>IF(B133="","",N(C133)+N(D133)+N(E133)-H133)</f>
        <v/>
      </c>
    </row>
    <row r="134">
      <c r="A134" s="8" t="n"/>
      <c r="B134" s="6" t="n"/>
      <c r="C134" s="9" t="n"/>
      <c r="D134" s="9" t="n"/>
      <c r="E134" s="9" t="n"/>
      <c r="F134" s="10">
        <f>IF(A134="","",IF(DAY(A134)&lt;=5,DATE(YEAR(A134),MONTH(A134),5),DATE(YEAR(A134),MONTH(A134)+1,5)))</f>
        <v/>
      </c>
      <c r="G134" s="7">
        <f>IF(B134="","",IFERROR(INDEX(Subcontractors!$E$2:$E$101,MATCH(B134,Subcontractors!$A$2:$A$101,0)),0.3))</f>
        <v/>
      </c>
      <c r="H134" s="11">
        <f>IF(B134="","",ROUND(N(C134)*G134,2))</f>
        <v/>
      </c>
      <c r="I134" s="11">
        <f>IF(B134="","",N(C134)+N(D134)+N(E134)-H134)</f>
        <v/>
      </c>
    </row>
    <row r="135">
      <c r="A135" s="8" t="n"/>
      <c r="B135" s="6" t="n"/>
      <c r="C135" s="9" t="n"/>
      <c r="D135" s="9" t="n"/>
      <c r="E135" s="9" t="n"/>
      <c r="F135" s="10">
        <f>IF(A135="","",IF(DAY(A135)&lt;=5,DATE(YEAR(A135),MONTH(A135),5),DATE(YEAR(A135),MONTH(A135)+1,5)))</f>
        <v/>
      </c>
      <c r="G135" s="7">
        <f>IF(B135="","",IFERROR(INDEX(Subcontractors!$E$2:$E$101,MATCH(B135,Subcontractors!$A$2:$A$101,0)),0.3))</f>
        <v/>
      </c>
      <c r="H135" s="11">
        <f>IF(B135="","",ROUND(N(C135)*G135,2))</f>
        <v/>
      </c>
      <c r="I135" s="11">
        <f>IF(B135="","",N(C135)+N(D135)+N(E135)-H135)</f>
        <v/>
      </c>
    </row>
    <row r="136">
      <c r="A136" s="8" t="n"/>
      <c r="B136" s="6" t="n"/>
      <c r="C136" s="9" t="n"/>
      <c r="D136" s="9" t="n"/>
      <c r="E136" s="9" t="n"/>
      <c r="F136" s="10">
        <f>IF(A136="","",IF(DAY(A136)&lt;=5,DATE(YEAR(A136),MONTH(A136),5),DATE(YEAR(A136),MONTH(A136)+1,5)))</f>
        <v/>
      </c>
      <c r="G136" s="7">
        <f>IF(B136="","",IFERROR(INDEX(Subcontractors!$E$2:$E$101,MATCH(B136,Subcontractors!$A$2:$A$101,0)),0.3))</f>
        <v/>
      </c>
      <c r="H136" s="11">
        <f>IF(B136="","",ROUND(N(C136)*G136,2))</f>
        <v/>
      </c>
      <c r="I136" s="11">
        <f>IF(B136="","",N(C136)+N(D136)+N(E136)-H136)</f>
        <v/>
      </c>
    </row>
    <row r="137">
      <c r="A137" s="8" t="n"/>
      <c r="B137" s="6" t="n"/>
      <c r="C137" s="9" t="n"/>
      <c r="D137" s="9" t="n"/>
      <c r="E137" s="9" t="n"/>
      <c r="F137" s="10">
        <f>IF(A137="","",IF(DAY(A137)&lt;=5,DATE(YEAR(A137),MONTH(A137),5),DATE(YEAR(A137),MONTH(A137)+1,5)))</f>
        <v/>
      </c>
      <c r="G137" s="7">
        <f>IF(B137="","",IFERROR(INDEX(Subcontractors!$E$2:$E$101,MATCH(B137,Subcontractors!$A$2:$A$101,0)),0.3))</f>
        <v/>
      </c>
      <c r="H137" s="11">
        <f>IF(B137="","",ROUND(N(C137)*G137,2))</f>
        <v/>
      </c>
      <c r="I137" s="11">
        <f>IF(B137="","",N(C137)+N(D137)+N(E137)-H137)</f>
        <v/>
      </c>
    </row>
    <row r="138">
      <c r="A138" s="8" t="n"/>
      <c r="B138" s="6" t="n"/>
      <c r="C138" s="9" t="n"/>
      <c r="D138" s="9" t="n"/>
      <c r="E138" s="9" t="n"/>
      <c r="F138" s="10">
        <f>IF(A138="","",IF(DAY(A138)&lt;=5,DATE(YEAR(A138),MONTH(A138),5),DATE(YEAR(A138),MONTH(A138)+1,5)))</f>
        <v/>
      </c>
      <c r="G138" s="7">
        <f>IF(B138="","",IFERROR(INDEX(Subcontractors!$E$2:$E$101,MATCH(B138,Subcontractors!$A$2:$A$101,0)),0.3))</f>
        <v/>
      </c>
      <c r="H138" s="11">
        <f>IF(B138="","",ROUND(N(C138)*G138,2))</f>
        <v/>
      </c>
      <c r="I138" s="11">
        <f>IF(B138="","",N(C138)+N(D138)+N(E138)-H138)</f>
        <v/>
      </c>
    </row>
    <row r="139">
      <c r="A139" s="8" t="n"/>
      <c r="B139" s="6" t="n"/>
      <c r="C139" s="9" t="n"/>
      <c r="D139" s="9" t="n"/>
      <c r="E139" s="9" t="n"/>
      <c r="F139" s="10">
        <f>IF(A139="","",IF(DAY(A139)&lt;=5,DATE(YEAR(A139),MONTH(A139),5),DATE(YEAR(A139),MONTH(A139)+1,5)))</f>
        <v/>
      </c>
      <c r="G139" s="7">
        <f>IF(B139="","",IFERROR(INDEX(Subcontractors!$E$2:$E$101,MATCH(B139,Subcontractors!$A$2:$A$101,0)),0.3))</f>
        <v/>
      </c>
      <c r="H139" s="11">
        <f>IF(B139="","",ROUND(N(C139)*G139,2))</f>
        <v/>
      </c>
      <c r="I139" s="11">
        <f>IF(B139="","",N(C139)+N(D139)+N(E139)-H139)</f>
        <v/>
      </c>
    </row>
    <row r="140">
      <c r="A140" s="8" t="n"/>
      <c r="B140" s="6" t="n"/>
      <c r="C140" s="9" t="n"/>
      <c r="D140" s="9" t="n"/>
      <c r="E140" s="9" t="n"/>
      <c r="F140" s="10">
        <f>IF(A140="","",IF(DAY(A140)&lt;=5,DATE(YEAR(A140),MONTH(A140),5),DATE(YEAR(A140),MONTH(A140)+1,5)))</f>
        <v/>
      </c>
      <c r="G140" s="7">
        <f>IF(B140="","",IFERROR(INDEX(Subcontractors!$E$2:$E$101,MATCH(B140,Subcontractors!$A$2:$A$101,0)),0.3))</f>
        <v/>
      </c>
      <c r="H140" s="11">
        <f>IF(B140="","",ROUND(N(C140)*G140,2))</f>
        <v/>
      </c>
      <c r="I140" s="11">
        <f>IF(B140="","",N(C140)+N(D140)+N(E140)-H140)</f>
        <v/>
      </c>
    </row>
    <row r="141">
      <c r="A141" s="8" t="n"/>
      <c r="B141" s="6" t="n"/>
      <c r="C141" s="9" t="n"/>
      <c r="D141" s="9" t="n"/>
      <c r="E141" s="9" t="n"/>
      <c r="F141" s="10">
        <f>IF(A141="","",IF(DAY(A141)&lt;=5,DATE(YEAR(A141),MONTH(A141),5),DATE(YEAR(A141),MONTH(A141)+1,5)))</f>
        <v/>
      </c>
      <c r="G141" s="7">
        <f>IF(B141="","",IFERROR(INDEX(Subcontractors!$E$2:$E$101,MATCH(B141,Subcontractors!$A$2:$A$101,0)),0.3))</f>
        <v/>
      </c>
      <c r="H141" s="11">
        <f>IF(B141="","",ROUND(N(C141)*G141,2))</f>
        <v/>
      </c>
      <c r="I141" s="11">
        <f>IF(B141="","",N(C141)+N(D141)+N(E141)-H141)</f>
        <v/>
      </c>
    </row>
    <row r="142">
      <c r="A142" s="8" t="n"/>
      <c r="B142" s="6" t="n"/>
      <c r="C142" s="9" t="n"/>
      <c r="D142" s="9" t="n"/>
      <c r="E142" s="9" t="n"/>
      <c r="F142" s="10">
        <f>IF(A142="","",IF(DAY(A142)&lt;=5,DATE(YEAR(A142),MONTH(A142),5),DATE(YEAR(A142),MONTH(A142)+1,5)))</f>
        <v/>
      </c>
      <c r="G142" s="7">
        <f>IF(B142="","",IFERROR(INDEX(Subcontractors!$E$2:$E$101,MATCH(B142,Subcontractors!$A$2:$A$101,0)),0.3))</f>
        <v/>
      </c>
      <c r="H142" s="11">
        <f>IF(B142="","",ROUND(N(C142)*G142,2))</f>
        <v/>
      </c>
      <c r="I142" s="11">
        <f>IF(B142="","",N(C142)+N(D142)+N(E142)-H142)</f>
        <v/>
      </c>
    </row>
    <row r="143">
      <c r="A143" s="8" t="n"/>
      <c r="B143" s="6" t="n"/>
      <c r="C143" s="9" t="n"/>
      <c r="D143" s="9" t="n"/>
      <c r="E143" s="9" t="n"/>
      <c r="F143" s="10">
        <f>IF(A143="","",IF(DAY(A143)&lt;=5,DATE(YEAR(A143),MONTH(A143),5),DATE(YEAR(A143),MONTH(A143)+1,5)))</f>
        <v/>
      </c>
      <c r="G143" s="7">
        <f>IF(B143="","",IFERROR(INDEX(Subcontractors!$E$2:$E$101,MATCH(B143,Subcontractors!$A$2:$A$101,0)),0.3))</f>
        <v/>
      </c>
      <c r="H143" s="11">
        <f>IF(B143="","",ROUND(N(C143)*G143,2))</f>
        <v/>
      </c>
      <c r="I143" s="11">
        <f>IF(B143="","",N(C143)+N(D143)+N(E143)-H143)</f>
        <v/>
      </c>
    </row>
    <row r="144">
      <c r="A144" s="8" t="n"/>
      <c r="B144" s="6" t="n"/>
      <c r="C144" s="9" t="n"/>
      <c r="D144" s="9" t="n"/>
      <c r="E144" s="9" t="n"/>
      <c r="F144" s="10">
        <f>IF(A144="","",IF(DAY(A144)&lt;=5,DATE(YEAR(A144),MONTH(A144),5),DATE(YEAR(A144),MONTH(A144)+1,5)))</f>
        <v/>
      </c>
      <c r="G144" s="7">
        <f>IF(B144="","",IFERROR(INDEX(Subcontractors!$E$2:$E$101,MATCH(B144,Subcontractors!$A$2:$A$101,0)),0.3))</f>
        <v/>
      </c>
      <c r="H144" s="11">
        <f>IF(B144="","",ROUND(N(C144)*G144,2))</f>
        <v/>
      </c>
      <c r="I144" s="11">
        <f>IF(B144="","",N(C144)+N(D144)+N(E144)-H144)</f>
        <v/>
      </c>
    </row>
    <row r="145">
      <c r="A145" s="8" t="n"/>
      <c r="B145" s="6" t="n"/>
      <c r="C145" s="9" t="n"/>
      <c r="D145" s="9" t="n"/>
      <c r="E145" s="9" t="n"/>
      <c r="F145" s="10">
        <f>IF(A145="","",IF(DAY(A145)&lt;=5,DATE(YEAR(A145),MONTH(A145),5),DATE(YEAR(A145),MONTH(A145)+1,5)))</f>
        <v/>
      </c>
      <c r="G145" s="7">
        <f>IF(B145="","",IFERROR(INDEX(Subcontractors!$E$2:$E$101,MATCH(B145,Subcontractors!$A$2:$A$101,0)),0.3))</f>
        <v/>
      </c>
      <c r="H145" s="11">
        <f>IF(B145="","",ROUND(N(C145)*G145,2))</f>
        <v/>
      </c>
      <c r="I145" s="11">
        <f>IF(B145="","",N(C145)+N(D145)+N(E145)-H145)</f>
        <v/>
      </c>
    </row>
    <row r="146">
      <c r="A146" s="8" t="n"/>
      <c r="B146" s="6" t="n"/>
      <c r="C146" s="9" t="n"/>
      <c r="D146" s="9" t="n"/>
      <c r="E146" s="9" t="n"/>
      <c r="F146" s="10">
        <f>IF(A146="","",IF(DAY(A146)&lt;=5,DATE(YEAR(A146),MONTH(A146),5),DATE(YEAR(A146),MONTH(A146)+1,5)))</f>
        <v/>
      </c>
      <c r="G146" s="7">
        <f>IF(B146="","",IFERROR(INDEX(Subcontractors!$E$2:$E$101,MATCH(B146,Subcontractors!$A$2:$A$101,0)),0.3))</f>
        <v/>
      </c>
      <c r="H146" s="11">
        <f>IF(B146="","",ROUND(N(C146)*G146,2))</f>
        <v/>
      </c>
      <c r="I146" s="11">
        <f>IF(B146="","",N(C146)+N(D146)+N(E146)-H146)</f>
        <v/>
      </c>
    </row>
    <row r="147">
      <c r="A147" s="8" t="n"/>
      <c r="B147" s="6" t="n"/>
      <c r="C147" s="9" t="n"/>
      <c r="D147" s="9" t="n"/>
      <c r="E147" s="9" t="n"/>
      <c r="F147" s="10">
        <f>IF(A147="","",IF(DAY(A147)&lt;=5,DATE(YEAR(A147),MONTH(A147),5),DATE(YEAR(A147),MONTH(A147)+1,5)))</f>
        <v/>
      </c>
      <c r="G147" s="7">
        <f>IF(B147="","",IFERROR(INDEX(Subcontractors!$E$2:$E$101,MATCH(B147,Subcontractors!$A$2:$A$101,0)),0.3))</f>
        <v/>
      </c>
      <c r="H147" s="11">
        <f>IF(B147="","",ROUND(N(C147)*G147,2))</f>
        <v/>
      </c>
      <c r="I147" s="11">
        <f>IF(B147="","",N(C147)+N(D147)+N(E147)-H147)</f>
        <v/>
      </c>
    </row>
    <row r="148">
      <c r="A148" s="8" t="n"/>
      <c r="B148" s="6" t="n"/>
      <c r="C148" s="9" t="n"/>
      <c r="D148" s="9" t="n"/>
      <c r="E148" s="9" t="n"/>
      <c r="F148" s="10">
        <f>IF(A148="","",IF(DAY(A148)&lt;=5,DATE(YEAR(A148),MONTH(A148),5),DATE(YEAR(A148),MONTH(A148)+1,5)))</f>
        <v/>
      </c>
      <c r="G148" s="7">
        <f>IF(B148="","",IFERROR(INDEX(Subcontractors!$E$2:$E$101,MATCH(B148,Subcontractors!$A$2:$A$101,0)),0.3))</f>
        <v/>
      </c>
      <c r="H148" s="11">
        <f>IF(B148="","",ROUND(N(C148)*G148,2))</f>
        <v/>
      </c>
      <c r="I148" s="11">
        <f>IF(B148="","",N(C148)+N(D148)+N(E148)-H148)</f>
        <v/>
      </c>
    </row>
    <row r="149">
      <c r="A149" s="8" t="n"/>
      <c r="B149" s="6" t="n"/>
      <c r="C149" s="9" t="n"/>
      <c r="D149" s="9" t="n"/>
      <c r="E149" s="9" t="n"/>
      <c r="F149" s="10">
        <f>IF(A149="","",IF(DAY(A149)&lt;=5,DATE(YEAR(A149),MONTH(A149),5),DATE(YEAR(A149),MONTH(A149)+1,5)))</f>
        <v/>
      </c>
      <c r="G149" s="7">
        <f>IF(B149="","",IFERROR(INDEX(Subcontractors!$E$2:$E$101,MATCH(B149,Subcontractors!$A$2:$A$101,0)),0.3))</f>
        <v/>
      </c>
      <c r="H149" s="11">
        <f>IF(B149="","",ROUND(N(C149)*G149,2))</f>
        <v/>
      </c>
      <c r="I149" s="11">
        <f>IF(B149="","",N(C149)+N(D149)+N(E149)-H149)</f>
        <v/>
      </c>
    </row>
    <row r="150">
      <c r="A150" s="8" t="n"/>
      <c r="B150" s="6" t="n"/>
      <c r="C150" s="9" t="n"/>
      <c r="D150" s="9" t="n"/>
      <c r="E150" s="9" t="n"/>
      <c r="F150" s="10">
        <f>IF(A150="","",IF(DAY(A150)&lt;=5,DATE(YEAR(A150),MONTH(A150),5),DATE(YEAR(A150),MONTH(A150)+1,5)))</f>
        <v/>
      </c>
      <c r="G150" s="7">
        <f>IF(B150="","",IFERROR(INDEX(Subcontractors!$E$2:$E$101,MATCH(B150,Subcontractors!$A$2:$A$101,0)),0.3))</f>
        <v/>
      </c>
      <c r="H150" s="11">
        <f>IF(B150="","",ROUND(N(C150)*G150,2))</f>
        <v/>
      </c>
      <c r="I150" s="11">
        <f>IF(B150="","",N(C150)+N(D150)+N(E150)-H150)</f>
        <v/>
      </c>
    </row>
    <row r="151">
      <c r="A151" s="8" t="n"/>
      <c r="B151" s="6" t="n"/>
      <c r="C151" s="9" t="n"/>
      <c r="D151" s="9" t="n"/>
      <c r="E151" s="9" t="n"/>
      <c r="F151" s="10">
        <f>IF(A151="","",IF(DAY(A151)&lt;=5,DATE(YEAR(A151),MONTH(A151),5),DATE(YEAR(A151),MONTH(A151)+1,5)))</f>
        <v/>
      </c>
      <c r="G151" s="7">
        <f>IF(B151="","",IFERROR(INDEX(Subcontractors!$E$2:$E$101,MATCH(B151,Subcontractors!$A$2:$A$101,0)),0.3))</f>
        <v/>
      </c>
      <c r="H151" s="11">
        <f>IF(B151="","",ROUND(N(C151)*G151,2))</f>
        <v/>
      </c>
      <c r="I151" s="11">
        <f>IF(B151="","",N(C151)+N(D151)+N(E151)-H151)</f>
        <v/>
      </c>
    </row>
    <row r="152">
      <c r="A152" s="8" t="n"/>
      <c r="B152" s="6" t="n"/>
      <c r="C152" s="9" t="n"/>
      <c r="D152" s="9" t="n"/>
      <c r="E152" s="9" t="n"/>
      <c r="F152" s="10">
        <f>IF(A152="","",IF(DAY(A152)&lt;=5,DATE(YEAR(A152),MONTH(A152),5),DATE(YEAR(A152),MONTH(A152)+1,5)))</f>
        <v/>
      </c>
      <c r="G152" s="7">
        <f>IF(B152="","",IFERROR(INDEX(Subcontractors!$E$2:$E$101,MATCH(B152,Subcontractors!$A$2:$A$101,0)),0.3))</f>
        <v/>
      </c>
      <c r="H152" s="11">
        <f>IF(B152="","",ROUND(N(C152)*G152,2))</f>
        <v/>
      </c>
      <c r="I152" s="11">
        <f>IF(B152="","",N(C152)+N(D152)+N(E152)-H152)</f>
        <v/>
      </c>
    </row>
    <row r="153">
      <c r="A153" s="8" t="n"/>
      <c r="B153" s="6" t="n"/>
      <c r="C153" s="9" t="n"/>
      <c r="D153" s="9" t="n"/>
      <c r="E153" s="9" t="n"/>
      <c r="F153" s="10">
        <f>IF(A153="","",IF(DAY(A153)&lt;=5,DATE(YEAR(A153),MONTH(A153),5),DATE(YEAR(A153),MONTH(A153)+1,5)))</f>
        <v/>
      </c>
      <c r="G153" s="7">
        <f>IF(B153="","",IFERROR(INDEX(Subcontractors!$E$2:$E$101,MATCH(B153,Subcontractors!$A$2:$A$101,0)),0.3))</f>
        <v/>
      </c>
      <c r="H153" s="11">
        <f>IF(B153="","",ROUND(N(C153)*G153,2))</f>
        <v/>
      </c>
      <c r="I153" s="11">
        <f>IF(B153="","",N(C153)+N(D153)+N(E153)-H153)</f>
        <v/>
      </c>
    </row>
    <row r="154">
      <c r="A154" s="8" t="n"/>
      <c r="B154" s="6" t="n"/>
      <c r="C154" s="9" t="n"/>
      <c r="D154" s="9" t="n"/>
      <c r="E154" s="9" t="n"/>
      <c r="F154" s="10">
        <f>IF(A154="","",IF(DAY(A154)&lt;=5,DATE(YEAR(A154),MONTH(A154),5),DATE(YEAR(A154),MONTH(A154)+1,5)))</f>
        <v/>
      </c>
      <c r="G154" s="7">
        <f>IF(B154="","",IFERROR(INDEX(Subcontractors!$E$2:$E$101,MATCH(B154,Subcontractors!$A$2:$A$101,0)),0.3))</f>
        <v/>
      </c>
      <c r="H154" s="11">
        <f>IF(B154="","",ROUND(N(C154)*G154,2))</f>
        <v/>
      </c>
      <c r="I154" s="11">
        <f>IF(B154="","",N(C154)+N(D154)+N(E154)-H154)</f>
        <v/>
      </c>
    </row>
    <row r="155">
      <c r="A155" s="8" t="n"/>
      <c r="B155" s="6" t="n"/>
      <c r="C155" s="9" t="n"/>
      <c r="D155" s="9" t="n"/>
      <c r="E155" s="9" t="n"/>
      <c r="F155" s="10">
        <f>IF(A155="","",IF(DAY(A155)&lt;=5,DATE(YEAR(A155),MONTH(A155),5),DATE(YEAR(A155),MONTH(A155)+1,5)))</f>
        <v/>
      </c>
      <c r="G155" s="7">
        <f>IF(B155="","",IFERROR(INDEX(Subcontractors!$E$2:$E$101,MATCH(B155,Subcontractors!$A$2:$A$101,0)),0.3))</f>
        <v/>
      </c>
      <c r="H155" s="11">
        <f>IF(B155="","",ROUND(N(C155)*G155,2))</f>
        <v/>
      </c>
      <c r="I155" s="11">
        <f>IF(B155="","",N(C155)+N(D155)+N(E155)-H155)</f>
        <v/>
      </c>
    </row>
    <row r="156">
      <c r="A156" s="8" t="n"/>
      <c r="B156" s="6" t="n"/>
      <c r="C156" s="9" t="n"/>
      <c r="D156" s="9" t="n"/>
      <c r="E156" s="9" t="n"/>
      <c r="F156" s="10">
        <f>IF(A156="","",IF(DAY(A156)&lt;=5,DATE(YEAR(A156),MONTH(A156),5),DATE(YEAR(A156),MONTH(A156)+1,5)))</f>
        <v/>
      </c>
      <c r="G156" s="7">
        <f>IF(B156="","",IFERROR(INDEX(Subcontractors!$E$2:$E$101,MATCH(B156,Subcontractors!$A$2:$A$101,0)),0.3))</f>
        <v/>
      </c>
      <c r="H156" s="11">
        <f>IF(B156="","",ROUND(N(C156)*G156,2))</f>
        <v/>
      </c>
      <c r="I156" s="11">
        <f>IF(B156="","",N(C156)+N(D156)+N(E156)-H156)</f>
        <v/>
      </c>
    </row>
    <row r="157">
      <c r="A157" s="8" t="n"/>
      <c r="B157" s="6" t="n"/>
      <c r="C157" s="9" t="n"/>
      <c r="D157" s="9" t="n"/>
      <c r="E157" s="9" t="n"/>
      <c r="F157" s="10">
        <f>IF(A157="","",IF(DAY(A157)&lt;=5,DATE(YEAR(A157),MONTH(A157),5),DATE(YEAR(A157),MONTH(A157)+1,5)))</f>
        <v/>
      </c>
      <c r="G157" s="7">
        <f>IF(B157="","",IFERROR(INDEX(Subcontractors!$E$2:$E$101,MATCH(B157,Subcontractors!$A$2:$A$101,0)),0.3))</f>
        <v/>
      </c>
      <c r="H157" s="11">
        <f>IF(B157="","",ROUND(N(C157)*G157,2))</f>
        <v/>
      </c>
      <c r="I157" s="11">
        <f>IF(B157="","",N(C157)+N(D157)+N(E157)-H157)</f>
        <v/>
      </c>
    </row>
    <row r="158">
      <c r="A158" s="8" t="n"/>
      <c r="B158" s="6" t="n"/>
      <c r="C158" s="9" t="n"/>
      <c r="D158" s="9" t="n"/>
      <c r="E158" s="9" t="n"/>
      <c r="F158" s="10">
        <f>IF(A158="","",IF(DAY(A158)&lt;=5,DATE(YEAR(A158),MONTH(A158),5),DATE(YEAR(A158),MONTH(A158)+1,5)))</f>
        <v/>
      </c>
      <c r="G158" s="7">
        <f>IF(B158="","",IFERROR(INDEX(Subcontractors!$E$2:$E$101,MATCH(B158,Subcontractors!$A$2:$A$101,0)),0.3))</f>
        <v/>
      </c>
      <c r="H158" s="11">
        <f>IF(B158="","",ROUND(N(C158)*G158,2))</f>
        <v/>
      </c>
      <c r="I158" s="11">
        <f>IF(B158="","",N(C158)+N(D158)+N(E158)-H158)</f>
        <v/>
      </c>
    </row>
    <row r="159">
      <c r="A159" s="8" t="n"/>
      <c r="B159" s="6" t="n"/>
      <c r="C159" s="9" t="n"/>
      <c r="D159" s="9" t="n"/>
      <c r="E159" s="9" t="n"/>
      <c r="F159" s="10">
        <f>IF(A159="","",IF(DAY(A159)&lt;=5,DATE(YEAR(A159),MONTH(A159),5),DATE(YEAR(A159),MONTH(A159)+1,5)))</f>
        <v/>
      </c>
      <c r="G159" s="7">
        <f>IF(B159="","",IFERROR(INDEX(Subcontractors!$E$2:$E$101,MATCH(B159,Subcontractors!$A$2:$A$101,0)),0.3))</f>
        <v/>
      </c>
      <c r="H159" s="11">
        <f>IF(B159="","",ROUND(N(C159)*G159,2))</f>
        <v/>
      </c>
      <c r="I159" s="11">
        <f>IF(B159="","",N(C159)+N(D159)+N(E159)-H159)</f>
        <v/>
      </c>
    </row>
    <row r="160">
      <c r="A160" s="8" t="n"/>
      <c r="B160" s="6" t="n"/>
      <c r="C160" s="9" t="n"/>
      <c r="D160" s="9" t="n"/>
      <c r="E160" s="9" t="n"/>
      <c r="F160" s="10">
        <f>IF(A160="","",IF(DAY(A160)&lt;=5,DATE(YEAR(A160),MONTH(A160),5),DATE(YEAR(A160),MONTH(A160)+1,5)))</f>
        <v/>
      </c>
      <c r="G160" s="7">
        <f>IF(B160="","",IFERROR(INDEX(Subcontractors!$E$2:$E$101,MATCH(B160,Subcontractors!$A$2:$A$101,0)),0.3))</f>
        <v/>
      </c>
      <c r="H160" s="11">
        <f>IF(B160="","",ROUND(N(C160)*G160,2))</f>
        <v/>
      </c>
      <c r="I160" s="11">
        <f>IF(B160="","",N(C160)+N(D160)+N(E160)-H160)</f>
        <v/>
      </c>
    </row>
    <row r="161">
      <c r="A161" s="8" t="n"/>
      <c r="B161" s="6" t="n"/>
      <c r="C161" s="9" t="n"/>
      <c r="D161" s="9" t="n"/>
      <c r="E161" s="9" t="n"/>
      <c r="F161" s="10">
        <f>IF(A161="","",IF(DAY(A161)&lt;=5,DATE(YEAR(A161),MONTH(A161),5),DATE(YEAR(A161),MONTH(A161)+1,5)))</f>
        <v/>
      </c>
      <c r="G161" s="7">
        <f>IF(B161="","",IFERROR(INDEX(Subcontractors!$E$2:$E$101,MATCH(B161,Subcontractors!$A$2:$A$101,0)),0.3))</f>
        <v/>
      </c>
      <c r="H161" s="11">
        <f>IF(B161="","",ROUND(N(C161)*G161,2))</f>
        <v/>
      </c>
      <c r="I161" s="11">
        <f>IF(B161="","",N(C161)+N(D161)+N(E161)-H161)</f>
        <v/>
      </c>
    </row>
    <row r="162">
      <c r="A162" s="8" t="n"/>
      <c r="B162" s="6" t="n"/>
      <c r="C162" s="9" t="n"/>
      <c r="D162" s="9" t="n"/>
      <c r="E162" s="9" t="n"/>
      <c r="F162" s="10">
        <f>IF(A162="","",IF(DAY(A162)&lt;=5,DATE(YEAR(A162),MONTH(A162),5),DATE(YEAR(A162),MONTH(A162)+1,5)))</f>
        <v/>
      </c>
      <c r="G162" s="7">
        <f>IF(B162="","",IFERROR(INDEX(Subcontractors!$E$2:$E$101,MATCH(B162,Subcontractors!$A$2:$A$101,0)),0.3))</f>
        <v/>
      </c>
      <c r="H162" s="11">
        <f>IF(B162="","",ROUND(N(C162)*G162,2))</f>
        <v/>
      </c>
      <c r="I162" s="11">
        <f>IF(B162="","",N(C162)+N(D162)+N(E162)-H162)</f>
        <v/>
      </c>
    </row>
    <row r="163">
      <c r="A163" s="8" t="n"/>
      <c r="B163" s="6" t="n"/>
      <c r="C163" s="9" t="n"/>
      <c r="D163" s="9" t="n"/>
      <c r="E163" s="9" t="n"/>
      <c r="F163" s="10">
        <f>IF(A163="","",IF(DAY(A163)&lt;=5,DATE(YEAR(A163),MONTH(A163),5),DATE(YEAR(A163),MONTH(A163)+1,5)))</f>
        <v/>
      </c>
      <c r="G163" s="7">
        <f>IF(B163="","",IFERROR(INDEX(Subcontractors!$E$2:$E$101,MATCH(B163,Subcontractors!$A$2:$A$101,0)),0.3))</f>
        <v/>
      </c>
      <c r="H163" s="11">
        <f>IF(B163="","",ROUND(N(C163)*G163,2))</f>
        <v/>
      </c>
      <c r="I163" s="11">
        <f>IF(B163="","",N(C163)+N(D163)+N(E163)-H163)</f>
        <v/>
      </c>
    </row>
    <row r="164">
      <c r="A164" s="8" t="n"/>
      <c r="B164" s="6" t="n"/>
      <c r="C164" s="9" t="n"/>
      <c r="D164" s="9" t="n"/>
      <c r="E164" s="9" t="n"/>
      <c r="F164" s="10">
        <f>IF(A164="","",IF(DAY(A164)&lt;=5,DATE(YEAR(A164),MONTH(A164),5),DATE(YEAR(A164),MONTH(A164)+1,5)))</f>
        <v/>
      </c>
      <c r="G164" s="7">
        <f>IF(B164="","",IFERROR(INDEX(Subcontractors!$E$2:$E$101,MATCH(B164,Subcontractors!$A$2:$A$101,0)),0.3))</f>
        <v/>
      </c>
      <c r="H164" s="11">
        <f>IF(B164="","",ROUND(N(C164)*G164,2))</f>
        <v/>
      </c>
      <c r="I164" s="11">
        <f>IF(B164="","",N(C164)+N(D164)+N(E164)-H164)</f>
        <v/>
      </c>
    </row>
    <row r="165">
      <c r="A165" s="8" t="n"/>
      <c r="B165" s="6" t="n"/>
      <c r="C165" s="9" t="n"/>
      <c r="D165" s="9" t="n"/>
      <c r="E165" s="9" t="n"/>
      <c r="F165" s="10">
        <f>IF(A165="","",IF(DAY(A165)&lt;=5,DATE(YEAR(A165),MONTH(A165),5),DATE(YEAR(A165),MONTH(A165)+1,5)))</f>
        <v/>
      </c>
      <c r="G165" s="7">
        <f>IF(B165="","",IFERROR(INDEX(Subcontractors!$E$2:$E$101,MATCH(B165,Subcontractors!$A$2:$A$101,0)),0.3))</f>
        <v/>
      </c>
      <c r="H165" s="11">
        <f>IF(B165="","",ROUND(N(C165)*G165,2))</f>
        <v/>
      </c>
      <c r="I165" s="11">
        <f>IF(B165="","",N(C165)+N(D165)+N(E165)-H165)</f>
        <v/>
      </c>
    </row>
    <row r="166">
      <c r="A166" s="8" t="n"/>
      <c r="B166" s="6" t="n"/>
      <c r="C166" s="9" t="n"/>
      <c r="D166" s="9" t="n"/>
      <c r="E166" s="9" t="n"/>
      <c r="F166" s="10">
        <f>IF(A166="","",IF(DAY(A166)&lt;=5,DATE(YEAR(A166),MONTH(A166),5),DATE(YEAR(A166),MONTH(A166)+1,5)))</f>
        <v/>
      </c>
      <c r="G166" s="7">
        <f>IF(B166="","",IFERROR(INDEX(Subcontractors!$E$2:$E$101,MATCH(B166,Subcontractors!$A$2:$A$101,0)),0.3))</f>
        <v/>
      </c>
      <c r="H166" s="11">
        <f>IF(B166="","",ROUND(N(C166)*G166,2))</f>
        <v/>
      </c>
      <c r="I166" s="11">
        <f>IF(B166="","",N(C166)+N(D166)+N(E166)-H166)</f>
        <v/>
      </c>
    </row>
    <row r="167">
      <c r="A167" s="8" t="n"/>
      <c r="B167" s="6" t="n"/>
      <c r="C167" s="9" t="n"/>
      <c r="D167" s="9" t="n"/>
      <c r="E167" s="9" t="n"/>
      <c r="F167" s="10">
        <f>IF(A167="","",IF(DAY(A167)&lt;=5,DATE(YEAR(A167),MONTH(A167),5),DATE(YEAR(A167),MONTH(A167)+1,5)))</f>
        <v/>
      </c>
      <c r="G167" s="7">
        <f>IF(B167="","",IFERROR(INDEX(Subcontractors!$E$2:$E$101,MATCH(B167,Subcontractors!$A$2:$A$101,0)),0.3))</f>
        <v/>
      </c>
      <c r="H167" s="11">
        <f>IF(B167="","",ROUND(N(C167)*G167,2))</f>
        <v/>
      </c>
      <c r="I167" s="11">
        <f>IF(B167="","",N(C167)+N(D167)+N(E167)-H167)</f>
        <v/>
      </c>
    </row>
    <row r="168">
      <c r="A168" s="8" t="n"/>
      <c r="B168" s="6" t="n"/>
      <c r="C168" s="9" t="n"/>
      <c r="D168" s="9" t="n"/>
      <c r="E168" s="9" t="n"/>
      <c r="F168" s="10">
        <f>IF(A168="","",IF(DAY(A168)&lt;=5,DATE(YEAR(A168),MONTH(A168),5),DATE(YEAR(A168),MONTH(A168)+1,5)))</f>
        <v/>
      </c>
      <c r="G168" s="7">
        <f>IF(B168="","",IFERROR(INDEX(Subcontractors!$E$2:$E$101,MATCH(B168,Subcontractors!$A$2:$A$101,0)),0.3))</f>
        <v/>
      </c>
      <c r="H168" s="11">
        <f>IF(B168="","",ROUND(N(C168)*G168,2))</f>
        <v/>
      </c>
      <c r="I168" s="11">
        <f>IF(B168="","",N(C168)+N(D168)+N(E168)-H168)</f>
        <v/>
      </c>
    </row>
    <row r="169">
      <c r="A169" s="8" t="n"/>
      <c r="B169" s="6" t="n"/>
      <c r="C169" s="9" t="n"/>
      <c r="D169" s="9" t="n"/>
      <c r="E169" s="9" t="n"/>
      <c r="F169" s="10">
        <f>IF(A169="","",IF(DAY(A169)&lt;=5,DATE(YEAR(A169),MONTH(A169),5),DATE(YEAR(A169),MONTH(A169)+1,5)))</f>
        <v/>
      </c>
      <c r="G169" s="7">
        <f>IF(B169="","",IFERROR(INDEX(Subcontractors!$E$2:$E$101,MATCH(B169,Subcontractors!$A$2:$A$101,0)),0.3))</f>
        <v/>
      </c>
      <c r="H169" s="11">
        <f>IF(B169="","",ROUND(N(C169)*G169,2))</f>
        <v/>
      </c>
      <c r="I169" s="11">
        <f>IF(B169="","",N(C169)+N(D169)+N(E169)-H169)</f>
        <v/>
      </c>
    </row>
    <row r="170">
      <c r="A170" s="8" t="n"/>
      <c r="B170" s="6" t="n"/>
      <c r="C170" s="9" t="n"/>
      <c r="D170" s="9" t="n"/>
      <c r="E170" s="9" t="n"/>
      <c r="F170" s="10">
        <f>IF(A170="","",IF(DAY(A170)&lt;=5,DATE(YEAR(A170),MONTH(A170),5),DATE(YEAR(A170),MONTH(A170)+1,5)))</f>
        <v/>
      </c>
      <c r="G170" s="7">
        <f>IF(B170="","",IFERROR(INDEX(Subcontractors!$E$2:$E$101,MATCH(B170,Subcontractors!$A$2:$A$101,0)),0.3))</f>
        <v/>
      </c>
      <c r="H170" s="11">
        <f>IF(B170="","",ROUND(N(C170)*G170,2))</f>
        <v/>
      </c>
      <c r="I170" s="11">
        <f>IF(B170="","",N(C170)+N(D170)+N(E170)-H170)</f>
        <v/>
      </c>
    </row>
    <row r="171">
      <c r="A171" s="8" t="n"/>
      <c r="B171" s="6" t="n"/>
      <c r="C171" s="9" t="n"/>
      <c r="D171" s="9" t="n"/>
      <c r="E171" s="9" t="n"/>
      <c r="F171" s="10">
        <f>IF(A171="","",IF(DAY(A171)&lt;=5,DATE(YEAR(A171),MONTH(A171),5),DATE(YEAR(A171),MONTH(A171)+1,5)))</f>
        <v/>
      </c>
      <c r="G171" s="7">
        <f>IF(B171="","",IFERROR(INDEX(Subcontractors!$E$2:$E$101,MATCH(B171,Subcontractors!$A$2:$A$101,0)),0.3))</f>
        <v/>
      </c>
      <c r="H171" s="11">
        <f>IF(B171="","",ROUND(N(C171)*G171,2))</f>
        <v/>
      </c>
      <c r="I171" s="11">
        <f>IF(B171="","",N(C171)+N(D171)+N(E171)-H171)</f>
        <v/>
      </c>
    </row>
    <row r="172">
      <c r="A172" s="8" t="n"/>
      <c r="B172" s="6" t="n"/>
      <c r="C172" s="9" t="n"/>
      <c r="D172" s="9" t="n"/>
      <c r="E172" s="9" t="n"/>
      <c r="F172" s="10">
        <f>IF(A172="","",IF(DAY(A172)&lt;=5,DATE(YEAR(A172),MONTH(A172),5),DATE(YEAR(A172),MONTH(A172)+1,5)))</f>
        <v/>
      </c>
      <c r="G172" s="7">
        <f>IF(B172="","",IFERROR(INDEX(Subcontractors!$E$2:$E$101,MATCH(B172,Subcontractors!$A$2:$A$101,0)),0.3))</f>
        <v/>
      </c>
      <c r="H172" s="11">
        <f>IF(B172="","",ROUND(N(C172)*G172,2))</f>
        <v/>
      </c>
      <c r="I172" s="11">
        <f>IF(B172="","",N(C172)+N(D172)+N(E172)-H172)</f>
        <v/>
      </c>
    </row>
    <row r="173">
      <c r="A173" s="8" t="n"/>
      <c r="B173" s="6" t="n"/>
      <c r="C173" s="9" t="n"/>
      <c r="D173" s="9" t="n"/>
      <c r="E173" s="9" t="n"/>
      <c r="F173" s="10">
        <f>IF(A173="","",IF(DAY(A173)&lt;=5,DATE(YEAR(A173),MONTH(A173),5),DATE(YEAR(A173),MONTH(A173)+1,5)))</f>
        <v/>
      </c>
      <c r="G173" s="7">
        <f>IF(B173="","",IFERROR(INDEX(Subcontractors!$E$2:$E$101,MATCH(B173,Subcontractors!$A$2:$A$101,0)),0.3))</f>
        <v/>
      </c>
      <c r="H173" s="11">
        <f>IF(B173="","",ROUND(N(C173)*G173,2))</f>
        <v/>
      </c>
      <c r="I173" s="11">
        <f>IF(B173="","",N(C173)+N(D173)+N(E173)-H173)</f>
        <v/>
      </c>
    </row>
    <row r="174">
      <c r="A174" s="8" t="n"/>
      <c r="B174" s="6" t="n"/>
      <c r="C174" s="9" t="n"/>
      <c r="D174" s="9" t="n"/>
      <c r="E174" s="9" t="n"/>
      <c r="F174" s="10">
        <f>IF(A174="","",IF(DAY(A174)&lt;=5,DATE(YEAR(A174),MONTH(A174),5),DATE(YEAR(A174),MONTH(A174)+1,5)))</f>
        <v/>
      </c>
      <c r="G174" s="7">
        <f>IF(B174="","",IFERROR(INDEX(Subcontractors!$E$2:$E$101,MATCH(B174,Subcontractors!$A$2:$A$101,0)),0.3))</f>
        <v/>
      </c>
      <c r="H174" s="11">
        <f>IF(B174="","",ROUND(N(C174)*G174,2))</f>
        <v/>
      </c>
      <c r="I174" s="11">
        <f>IF(B174="","",N(C174)+N(D174)+N(E174)-H174)</f>
        <v/>
      </c>
    </row>
    <row r="175">
      <c r="A175" s="8" t="n"/>
      <c r="B175" s="6" t="n"/>
      <c r="C175" s="9" t="n"/>
      <c r="D175" s="9" t="n"/>
      <c r="E175" s="9" t="n"/>
      <c r="F175" s="10">
        <f>IF(A175="","",IF(DAY(A175)&lt;=5,DATE(YEAR(A175),MONTH(A175),5),DATE(YEAR(A175),MONTH(A175)+1,5)))</f>
        <v/>
      </c>
      <c r="G175" s="7">
        <f>IF(B175="","",IFERROR(INDEX(Subcontractors!$E$2:$E$101,MATCH(B175,Subcontractors!$A$2:$A$101,0)),0.3))</f>
        <v/>
      </c>
      <c r="H175" s="11">
        <f>IF(B175="","",ROUND(N(C175)*G175,2))</f>
        <v/>
      </c>
      <c r="I175" s="11">
        <f>IF(B175="","",N(C175)+N(D175)+N(E175)-H175)</f>
        <v/>
      </c>
    </row>
    <row r="176">
      <c r="A176" s="8" t="n"/>
      <c r="B176" s="6" t="n"/>
      <c r="C176" s="9" t="n"/>
      <c r="D176" s="9" t="n"/>
      <c r="E176" s="9" t="n"/>
      <c r="F176" s="10">
        <f>IF(A176="","",IF(DAY(A176)&lt;=5,DATE(YEAR(A176),MONTH(A176),5),DATE(YEAR(A176),MONTH(A176)+1,5)))</f>
        <v/>
      </c>
      <c r="G176" s="7">
        <f>IF(B176="","",IFERROR(INDEX(Subcontractors!$E$2:$E$101,MATCH(B176,Subcontractors!$A$2:$A$101,0)),0.3))</f>
        <v/>
      </c>
      <c r="H176" s="11">
        <f>IF(B176="","",ROUND(N(C176)*G176,2))</f>
        <v/>
      </c>
      <c r="I176" s="11">
        <f>IF(B176="","",N(C176)+N(D176)+N(E176)-H176)</f>
        <v/>
      </c>
    </row>
    <row r="177">
      <c r="A177" s="8" t="n"/>
      <c r="B177" s="6" t="n"/>
      <c r="C177" s="9" t="n"/>
      <c r="D177" s="9" t="n"/>
      <c r="E177" s="9" t="n"/>
      <c r="F177" s="10">
        <f>IF(A177="","",IF(DAY(A177)&lt;=5,DATE(YEAR(A177),MONTH(A177),5),DATE(YEAR(A177),MONTH(A177)+1,5)))</f>
        <v/>
      </c>
      <c r="G177" s="7">
        <f>IF(B177="","",IFERROR(INDEX(Subcontractors!$E$2:$E$101,MATCH(B177,Subcontractors!$A$2:$A$101,0)),0.3))</f>
        <v/>
      </c>
      <c r="H177" s="11">
        <f>IF(B177="","",ROUND(N(C177)*G177,2))</f>
        <v/>
      </c>
      <c r="I177" s="11">
        <f>IF(B177="","",N(C177)+N(D177)+N(E177)-H177)</f>
        <v/>
      </c>
    </row>
    <row r="178">
      <c r="A178" s="8" t="n"/>
      <c r="B178" s="6" t="n"/>
      <c r="C178" s="9" t="n"/>
      <c r="D178" s="9" t="n"/>
      <c r="E178" s="9" t="n"/>
      <c r="F178" s="10">
        <f>IF(A178="","",IF(DAY(A178)&lt;=5,DATE(YEAR(A178),MONTH(A178),5),DATE(YEAR(A178),MONTH(A178)+1,5)))</f>
        <v/>
      </c>
      <c r="G178" s="7">
        <f>IF(B178="","",IFERROR(INDEX(Subcontractors!$E$2:$E$101,MATCH(B178,Subcontractors!$A$2:$A$101,0)),0.3))</f>
        <v/>
      </c>
      <c r="H178" s="11">
        <f>IF(B178="","",ROUND(N(C178)*G178,2))</f>
        <v/>
      </c>
      <c r="I178" s="11">
        <f>IF(B178="","",N(C178)+N(D178)+N(E178)-H178)</f>
        <v/>
      </c>
    </row>
    <row r="179">
      <c r="A179" s="8" t="n"/>
      <c r="B179" s="6" t="n"/>
      <c r="C179" s="9" t="n"/>
      <c r="D179" s="9" t="n"/>
      <c r="E179" s="9" t="n"/>
      <c r="F179" s="10">
        <f>IF(A179="","",IF(DAY(A179)&lt;=5,DATE(YEAR(A179),MONTH(A179),5),DATE(YEAR(A179),MONTH(A179)+1,5)))</f>
        <v/>
      </c>
      <c r="G179" s="7">
        <f>IF(B179="","",IFERROR(INDEX(Subcontractors!$E$2:$E$101,MATCH(B179,Subcontractors!$A$2:$A$101,0)),0.3))</f>
        <v/>
      </c>
      <c r="H179" s="11">
        <f>IF(B179="","",ROUND(N(C179)*G179,2))</f>
        <v/>
      </c>
      <c r="I179" s="11">
        <f>IF(B179="","",N(C179)+N(D179)+N(E179)-H179)</f>
        <v/>
      </c>
    </row>
    <row r="180">
      <c r="A180" s="8" t="n"/>
      <c r="B180" s="6" t="n"/>
      <c r="C180" s="9" t="n"/>
      <c r="D180" s="9" t="n"/>
      <c r="E180" s="9" t="n"/>
      <c r="F180" s="10">
        <f>IF(A180="","",IF(DAY(A180)&lt;=5,DATE(YEAR(A180),MONTH(A180),5),DATE(YEAR(A180),MONTH(A180)+1,5)))</f>
        <v/>
      </c>
      <c r="G180" s="7">
        <f>IF(B180="","",IFERROR(INDEX(Subcontractors!$E$2:$E$101,MATCH(B180,Subcontractors!$A$2:$A$101,0)),0.3))</f>
        <v/>
      </c>
      <c r="H180" s="11">
        <f>IF(B180="","",ROUND(N(C180)*G180,2))</f>
        <v/>
      </c>
      <c r="I180" s="11">
        <f>IF(B180="","",N(C180)+N(D180)+N(E180)-H180)</f>
        <v/>
      </c>
    </row>
    <row r="181">
      <c r="A181" s="8" t="n"/>
      <c r="B181" s="6" t="n"/>
      <c r="C181" s="9" t="n"/>
      <c r="D181" s="9" t="n"/>
      <c r="E181" s="9" t="n"/>
      <c r="F181" s="10">
        <f>IF(A181="","",IF(DAY(A181)&lt;=5,DATE(YEAR(A181),MONTH(A181),5),DATE(YEAR(A181),MONTH(A181)+1,5)))</f>
        <v/>
      </c>
      <c r="G181" s="7">
        <f>IF(B181="","",IFERROR(INDEX(Subcontractors!$E$2:$E$101,MATCH(B181,Subcontractors!$A$2:$A$101,0)),0.3))</f>
        <v/>
      </c>
      <c r="H181" s="11">
        <f>IF(B181="","",ROUND(N(C181)*G181,2))</f>
        <v/>
      </c>
      <c r="I181" s="11">
        <f>IF(B181="","",N(C181)+N(D181)+N(E181)-H181)</f>
        <v/>
      </c>
    </row>
    <row r="182">
      <c r="A182" s="8" t="n"/>
      <c r="B182" s="6" t="n"/>
      <c r="C182" s="9" t="n"/>
      <c r="D182" s="9" t="n"/>
      <c r="E182" s="9" t="n"/>
      <c r="F182" s="10">
        <f>IF(A182="","",IF(DAY(A182)&lt;=5,DATE(YEAR(A182),MONTH(A182),5),DATE(YEAR(A182),MONTH(A182)+1,5)))</f>
        <v/>
      </c>
      <c r="G182" s="7">
        <f>IF(B182="","",IFERROR(INDEX(Subcontractors!$E$2:$E$101,MATCH(B182,Subcontractors!$A$2:$A$101,0)),0.3))</f>
        <v/>
      </c>
      <c r="H182" s="11">
        <f>IF(B182="","",ROUND(N(C182)*G182,2))</f>
        <v/>
      </c>
      <c r="I182" s="11">
        <f>IF(B182="","",N(C182)+N(D182)+N(E182)-H182)</f>
        <v/>
      </c>
    </row>
    <row r="183">
      <c r="A183" s="8" t="n"/>
      <c r="B183" s="6" t="n"/>
      <c r="C183" s="9" t="n"/>
      <c r="D183" s="9" t="n"/>
      <c r="E183" s="9" t="n"/>
      <c r="F183" s="10">
        <f>IF(A183="","",IF(DAY(A183)&lt;=5,DATE(YEAR(A183),MONTH(A183),5),DATE(YEAR(A183),MONTH(A183)+1,5)))</f>
        <v/>
      </c>
      <c r="G183" s="7">
        <f>IF(B183="","",IFERROR(INDEX(Subcontractors!$E$2:$E$101,MATCH(B183,Subcontractors!$A$2:$A$101,0)),0.3))</f>
        <v/>
      </c>
      <c r="H183" s="11">
        <f>IF(B183="","",ROUND(N(C183)*G183,2))</f>
        <v/>
      </c>
      <c r="I183" s="11">
        <f>IF(B183="","",N(C183)+N(D183)+N(E183)-H183)</f>
        <v/>
      </c>
    </row>
    <row r="184">
      <c r="A184" s="8" t="n"/>
      <c r="B184" s="6" t="n"/>
      <c r="C184" s="9" t="n"/>
      <c r="D184" s="9" t="n"/>
      <c r="E184" s="9" t="n"/>
      <c r="F184" s="10">
        <f>IF(A184="","",IF(DAY(A184)&lt;=5,DATE(YEAR(A184),MONTH(A184),5),DATE(YEAR(A184),MONTH(A184)+1,5)))</f>
        <v/>
      </c>
      <c r="G184" s="7">
        <f>IF(B184="","",IFERROR(INDEX(Subcontractors!$E$2:$E$101,MATCH(B184,Subcontractors!$A$2:$A$101,0)),0.3))</f>
        <v/>
      </c>
      <c r="H184" s="11">
        <f>IF(B184="","",ROUND(N(C184)*G184,2))</f>
        <v/>
      </c>
      <c r="I184" s="11">
        <f>IF(B184="","",N(C184)+N(D184)+N(E184)-H184)</f>
        <v/>
      </c>
    </row>
    <row r="185">
      <c r="A185" s="8" t="n"/>
      <c r="B185" s="6" t="n"/>
      <c r="C185" s="9" t="n"/>
      <c r="D185" s="9" t="n"/>
      <c r="E185" s="9" t="n"/>
      <c r="F185" s="10">
        <f>IF(A185="","",IF(DAY(A185)&lt;=5,DATE(YEAR(A185),MONTH(A185),5),DATE(YEAR(A185),MONTH(A185)+1,5)))</f>
        <v/>
      </c>
      <c r="G185" s="7">
        <f>IF(B185="","",IFERROR(INDEX(Subcontractors!$E$2:$E$101,MATCH(B185,Subcontractors!$A$2:$A$101,0)),0.3))</f>
        <v/>
      </c>
      <c r="H185" s="11">
        <f>IF(B185="","",ROUND(N(C185)*G185,2))</f>
        <v/>
      </c>
      <c r="I185" s="11">
        <f>IF(B185="","",N(C185)+N(D185)+N(E185)-H185)</f>
        <v/>
      </c>
    </row>
    <row r="186">
      <c r="A186" s="8" t="n"/>
      <c r="B186" s="6" t="n"/>
      <c r="C186" s="9" t="n"/>
      <c r="D186" s="9" t="n"/>
      <c r="E186" s="9" t="n"/>
      <c r="F186" s="10">
        <f>IF(A186="","",IF(DAY(A186)&lt;=5,DATE(YEAR(A186),MONTH(A186),5),DATE(YEAR(A186),MONTH(A186)+1,5)))</f>
        <v/>
      </c>
      <c r="G186" s="7">
        <f>IF(B186="","",IFERROR(INDEX(Subcontractors!$E$2:$E$101,MATCH(B186,Subcontractors!$A$2:$A$101,0)),0.3))</f>
        <v/>
      </c>
      <c r="H186" s="11">
        <f>IF(B186="","",ROUND(N(C186)*G186,2))</f>
        <v/>
      </c>
      <c r="I186" s="11">
        <f>IF(B186="","",N(C186)+N(D186)+N(E186)-H186)</f>
        <v/>
      </c>
    </row>
    <row r="187">
      <c r="A187" s="8" t="n"/>
      <c r="B187" s="6" t="n"/>
      <c r="C187" s="9" t="n"/>
      <c r="D187" s="9" t="n"/>
      <c r="E187" s="9" t="n"/>
      <c r="F187" s="10">
        <f>IF(A187="","",IF(DAY(A187)&lt;=5,DATE(YEAR(A187),MONTH(A187),5),DATE(YEAR(A187),MONTH(A187)+1,5)))</f>
        <v/>
      </c>
      <c r="G187" s="7">
        <f>IF(B187="","",IFERROR(INDEX(Subcontractors!$E$2:$E$101,MATCH(B187,Subcontractors!$A$2:$A$101,0)),0.3))</f>
        <v/>
      </c>
      <c r="H187" s="11">
        <f>IF(B187="","",ROUND(N(C187)*G187,2))</f>
        <v/>
      </c>
      <c r="I187" s="11">
        <f>IF(B187="","",N(C187)+N(D187)+N(E187)-H187)</f>
        <v/>
      </c>
    </row>
    <row r="188">
      <c r="A188" s="8" t="n"/>
      <c r="B188" s="6" t="n"/>
      <c r="C188" s="9" t="n"/>
      <c r="D188" s="9" t="n"/>
      <c r="E188" s="9" t="n"/>
      <c r="F188" s="10">
        <f>IF(A188="","",IF(DAY(A188)&lt;=5,DATE(YEAR(A188),MONTH(A188),5),DATE(YEAR(A188),MONTH(A188)+1,5)))</f>
        <v/>
      </c>
      <c r="G188" s="7">
        <f>IF(B188="","",IFERROR(INDEX(Subcontractors!$E$2:$E$101,MATCH(B188,Subcontractors!$A$2:$A$101,0)),0.3))</f>
        <v/>
      </c>
      <c r="H188" s="11">
        <f>IF(B188="","",ROUND(N(C188)*G188,2))</f>
        <v/>
      </c>
      <c r="I188" s="11">
        <f>IF(B188="","",N(C188)+N(D188)+N(E188)-H188)</f>
        <v/>
      </c>
    </row>
    <row r="189">
      <c r="A189" s="8" t="n"/>
      <c r="B189" s="6" t="n"/>
      <c r="C189" s="9" t="n"/>
      <c r="D189" s="9" t="n"/>
      <c r="E189" s="9" t="n"/>
      <c r="F189" s="10">
        <f>IF(A189="","",IF(DAY(A189)&lt;=5,DATE(YEAR(A189),MONTH(A189),5),DATE(YEAR(A189),MONTH(A189)+1,5)))</f>
        <v/>
      </c>
      <c r="G189" s="7">
        <f>IF(B189="","",IFERROR(INDEX(Subcontractors!$E$2:$E$101,MATCH(B189,Subcontractors!$A$2:$A$101,0)),0.3))</f>
        <v/>
      </c>
      <c r="H189" s="11">
        <f>IF(B189="","",ROUND(N(C189)*G189,2))</f>
        <v/>
      </c>
      <c r="I189" s="11">
        <f>IF(B189="","",N(C189)+N(D189)+N(E189)-H189)</f>
        <v/>
      </c>
    </row>
    <row r="190">
      <c r="A190" s="8" t="n"/>
      <c r="B190" s="6" t="n"/>
      <c r="C190" s="9" t="n"/>
      <c r="D190" s="9" t="n"/>
      <c r="E190" s="9" t="n"/>
      <c r="F190" s="10">
        <f>IF(A190="","",IF(DAY(A190)&lt;=5,DATE(YEAR(A190),MONTH(A190),5),DATE(YEAR(A190),MONTH(A190)+1,5)))</f>
        <v/>
      </c>
      <c r="G190" s="7">
        <f>IF(B190="","",IFERROR(INDEX(Subcontractors!$E$2:$E$101,MATCH(B190,Subcontractors!$A$2:$A$101,0)),0.3))</f>
        <v/>
      </c>
      <c r="H190" s="11">
        <f>IF(B190="","",ROUND(N(C190)*G190,2))</f>
        <v/>
      </c>
      <c r="I190" s="11">
        <f>IF(B190="","",N(C190)+N(D190)+N(E190)-H190)</f>
        <v/>
      </c>
    </row>
    <row r="191">
      <c r="A191" s="8" t="n"/>
      <c r="B191" s="6" t="n"/>
      <c r="C191" s="9" t="n"/>
      <c r="D191" s="9" t="n"/>
      <c r="E191" s="9" t="n"/>
      <c r="F191" s="10">
        <f>IF(A191="","",IF(DAY(A191)&lt;=5,DATE(YEAR(A191),MONTH(A191),5),DATE(YEAR(A191),MONTH(A191)+1,5)))</f>
        <v/>
      </c>
      <c r="G191" s="7">
        <f>IF(B191="","",IFERROR(INDEX(Subcontractors!$E$2:$E$101,MATCH(B191,Subcontractors!$A$2:$A$101,0)),0.3))</f>
        <v/>
      </c>
      <c r="H191" s="11">
        <f>IF(B191="","",ROUND(N(C191)*G191,2))</f>
        <v/>
      </c>
      <c r="I191" s="11">
        <f>IF(B191="","",N(C191)+N(D191)+N(E191)-H191)</f>
        <v/>
      </c>
    </row>
    <row r="192">
      <c r="A192" s="8" t="n"/>
      <c r="B192" s="6" t="n"/>
      <c r="C192" s="9" t="n"/>
      <c r="D192" s="9" t="n"/>
      <c r="E192" s="9" t="n"/>
      <c r="F192" s="10">
        <f>IF(A192="","",IF(DAY(A192)&lt;=5,DATE(YEAR(A192),MONTH(A192),5),DATE(YEAR(A192),MONTH(A192)+1,5)))</f>
        <v/>
      </c>
      <c r="G192" s="7">
        <f>IF(B192="","",IFERROR(INDEX(Subcontractors!$E$2:$E$101,MATCH(B192,Subcontractors!$A$2:$A$101,0)),0.3))</f>
        <v/>
      </c>
      <c r="H192" s="11">
        <f>IF(B192="","",ROUND(N(C192)*G192,2))</f>
        <v/>
      </c>
      <c r="I192" s="11">
        <f>IF(B192="","",N(C192)+N(D192)+N(E192)-H192)</f>
        <v/>
      </c>
    </row>
    <row r="193">
      <c r="A193" s="8" t="n"/>
      <c r="B193" s="6" t="n"/>
      <c r="C193" s="9" t="n"/>
      <c r="D193" s="9" t="n"/>
      <c r="E193" s="9" t="n"/>
      <c r="F193" s="10">
        <f>IF(A193="","",IF(DAY(A193)&lt;=5,DATE(YEAR(A193),MONTH(A193),5),DATE(YEAR(A193),MONTH(A193)+1,5)))</f>
        <v/>
      </c>
      <c r="G193" s="7">
        <f>IF(B193="","",IFERROR(INDEX(Subcontractors!$E$2:$E$101,MATCH(B193,Subcontractors!$A$2:$A$101,0)),0.3))</f>
        <v/>
      </c>
      <c r="H193" s="11">
        <f>IF(B193="","",ROUND(N(C193)*G193,2))</f>
        <v/>
      </c>
      <c r="I193" s="11">
        <f>IF(B193="","",N(C193)+N(D193)+N(E193)-H193)</f>
        <v/>
      </c>
    </row>
    <row r="194">
      <c r="A194" s="8" t="n"/>
      <c r="B194" s="6" t="n"/>
      <c r="C194" s="9" t="n"/>
      <c r="D194" s="9" t="n"/>
      <c r="E194" s="9" t="n"/>
      <c r="F194" s="10">
        <f>IF(A194="","",IF(DAY(A194)&lt;=5,DATE(YEAR(A194),MONTH(A194),5),DATE(YEAR(A194),MONTH(A194)+1,5)))</f>
        <v/>
      </c>
      <c r="G194" s="7">
        <f>IF(B194="","",IFERROR(INDEX(Subcontractors!$E$2:$E$101,MATCH(B194,Subcontractors!$A$2:$A$101,0)),0.3))</f>
        <v/>
      </c>
      <c r="H194" s="11">
        <f>IF(B194="","",ROUND(N(C194)*G194,2))</f>
        <v/>
      </c>
      <c r="I194" s="11">
        <f>IF(B194="","",N(C194)+N(D194)+N(E194)-H194)</f>
        <v/>
      </c>
    </row>
    <row r="195">
      <c r="A195" s="8" t="n"/>
      <c r="B195" s="6" t="n"/>
      <c r="C195" s="9" t="n"/>
      <c r="D195" s="9" t="n"/>
      <c r="E195" s="9" t="n"/>
      <c r="F195" s="10">
        <f>IF(A195="","",IF(DAY(A195)&lt;=5,DATE(YEAR(A195),MONTH(A195),5),DATE(YEAR(A195),MONTH(A195)+1,5)))</f>
        <v/>
      </c>
      <c r="G195" s="7">
        <f>IF(B195="","",IFERROR(INDEX(Subcontractors!$E$2:$E$101,MATCH(B195,Subcontractors!$A$2:$A$101,0)),0.3))</f>
        <v/>
      </c>
      <c r="H195" s="11">
        <f>IF(B195="","",ROUND(N(C195)*G195,2))</f>
        <v/>
      </c>
      <c r="I195" s="11">
        <f>IF(B195="","",N(C195)+N(D195)+N(E195)-H195)</f>
        <v/>
      </c>
    </row>
    <row r="196">
      <c r="A196" s="8" t="n"/>
      <c r="B196" s="6" t="n"/>
      <c r="C196" s="9" t="n"/>
      <c r="D196" s="9" t="n"/>
      <c r="E196" s="9" t="n"/>
      <c r="F196" s="10">
        <f>IF(A196="","",IF(DAY(A196)&lt;=5,DATE(YEAR(A196),MONTH(A196),5),DATE(YEAR(A196),MONTH(A196)+1,5)))</f>
        <v/>
      </c>
      <c r="G196" s="7">
        <f>IF(B196="","",IFERROR(INDEX(Subcontractors!$E$2:$E$101,MATCH(B196,Subcontractors!$A$2:$A$101,0)),0.3))</f>
        <v/>
      </c>
      <c r="H196" s="11">
        <f>IF(B196="","",ROUND(N(C196)*G196,2))</f>
        <v/>
      </c>
      <c r="I196" s="11">
        <f>IF(B196="","",N(C196)+N(D196)+N(E196)-H196)</f>
        <v/>
      </c>
    </row>
    <row r="197">
      <c r="A197" s="8" t="n"/>
      <c r="B197" s="6" t="n"/>
      <c r="C197" s="9" t="n"/>
      <c r="D197" s="9" t="n"/>
      <c r="E197" s="9" t="n"/>
      <c r="F197" s="10">
        <f>IF(A197="","",IF(DAY(A197)&lt;=5,DATE(YEAR(A197),MONTH(A197),5),DATE(YEAR(A197),MONTH(A197)+1,5)))</f>
        <v/>
      </c>
      <c r="G197" s="7">
        <f>IF(B197="","",IFERROR(INDEX(Subcontractors!$E$2:$E$101,MATCH(B197,Subcontractors!$A$2:$A$101,0)),0.3))</f>
        <v/>
      </c>
      <c r="H197" s="11">
        <f>IF(B197="","",ROUND(N(C197)*G197,2))</f>
        <v/>
      </c>
      <c r="I197" s="11">
        <f>IF(B197="","",N(C197)+N(D197)+N(E197)-H197)</f>
        <v/>
      </c>
    </row>
    <row r="198">
      <c r="A198" s="8" t="n"/>
      <c r="B198" s="6" t="n"/>
      <c r="C198" s="9" t="n"/>
      <c r="D198" s="9" t="n"/>
      <c r="E198" s="9" t="n"/>
      <c r="F198" s="10">
        <f>IF(A198="","",IF(DAY(A198)&lt;=5,DATE(YEAR(A198),MONTH(A198),5),DATE(YEAR(A198),MONTH(A198)+1,5)))</f>
        <v/>
      </c>
      <c r="G198" s="7">
        <f>IF(B198="","",IFERROR(INDEX(Subcontractors!$E$2:$E$101,MATCH(B198,Subcontractors!$A$2:$A$101,0)),0.3))</f>
        <v/>
      </c>
      <c r="H198" s="11">
        <f>IF(B198="","",ROUND(N(C198)*G198,2))</f>
        <v/>
      </c>
      <c r="I198" s="11">
        <f>IF(B198="","",N(C198)+N(D198)+N(E198)-H198)</f>
        <v/>
      </c>
    </row>
    <row r="199">
      <c r="A199" s="8" t="n"/>
      <c r="B199" s="6" t="n"/>
      <c r="C199" s="9" t="n"/>
      <c r="D199" s="9" t="n"/>
      <c r="E199" s="9" t="n"/>
      <c r="F199" s="10">
        <f>IF(A199="","",IF(DAY(A199)&lt;=5,DATE(YEAR(A199),MONTH(A199),5),DATE(YEAR(A199),MONTH(A199)+1,5)))</f>
        <v/>
      </c>
      <c r="G199" s="7">
        <f>IF(B199="","",IFERROR(INDEX(Subcontractors!$E$2:$E$101,MATCH(B199,Subcontractors!$A$2:$A$101,0)),0.3))</f>
        <v/>
      </c>
      <c r="H199" s="11">
        <f>IF(B199="","",ROUND(N(C199)*G199,2))</f>
        <v/>
      </c>
      <c r="I199" s="11">
        <f>IF(B199="","",N(C199)+N(D199)+N(E199)-H199)</f>
        <v/>
      </c>
    </row>
    <row r="200">
      <c r="A200" s="8" t="n"/>
      <c r="B200" s="6" t="n"/>
      <c r="C200" s="9" t="n"/>
      <c r="D200" s="9" t="n"/>
      <c r="E200" s="9" t="n"/>
      <c r="F200" s="10">
        <f>IF(A200="","",IF(DAY(A200)&lt;=5,DATE(YEAR(A200),MONTH(A200),5),DATE(YEAR(A200),MONTH(A200)+1,5)))</f>
        <v/>
      </c>
      <c r="G200" s="7">
        <f>IF(B200="","",IFERROR(INDEX(Subcontractors!$E$2:$E$101,MATCH(B200,Subcontractors!$A$2:$A$101,0)),0.3))</f>
        <v/>
      </c>
      <c r="H200" s="11">
        <f>IF(B200="","",ROUND(N(C200)*G200,2))</f>
        <v/>
      </c>
      <c r="I200" s="11">
        <f>IF(B200="","",N(C200)+N(D200)+N(E200)-H200)</f>
        <v/>
      </c>
    </row>
    <row r="201">
      <c r="A201" s="8" t="n"/>
      <c r="B201" s="6" t="n"/>
      <c r="C201" s="9" t="n"/>
      <c r="D201" s="9" t="n"/>
      <c r="E201" s="9" t="n"/>
      <c r="F201" s="10">
        <f>IF(A201="","",IF(DAY(A201)&lt;=5,DATE(YEAR(A201),MONTH(A201),5),DATE(YEAR(A201),MONTH(A201)+1,5)))</f>
        <v/>
      </c>
      <c r="G201" s="7">
        <f>IF(B201="","",IFERROR(INDEX(Subcontractors!$E$2:$E$101,MATCH(B201,Subcontractors!$A$2:$A$101,0)),0.3))</f>
        <v/>
      </c>
      <c r="H201" s="11">
        <f>IF(B201="","",ROUND(N(C201)*G201,2))</f>
        <v/>
      </c>
      <c r="I201" s="11">
        <f>IF(B201="","",N(C201)+N(D201)+N(E201)-H201)</f>
        <v/>
      </c>
    </row>
    <row r="202">
      <c r="A202" s="8" t="n"/>
      <c r="B202" s="6" t="n"/>
      <c r="C202" s="9" t="n"/>
      <c r="D202" s="9" t="n"/>
      <c r="E202" s="9" t="n"/>
      <c r="F202" s="10">
        <f>IF(A202="","",IF(DAY(A202)&lt;=5,DATE(YEAR(A202),MONTH(A202),5),DATE(YEAR(A202),MONTH(A202)+1,5)))</f>
        <v/>
      </c>
      <c r="G202" s="7">
        <f>IF(B202="","",IFERROR(INDEX(Subcontractors!$E$2:$E$101,MATCH(B202,Subcontractors!$A$2:$A$101,0)),0.3))</f>
        <v/>
      </c>
      <c r="H202" s="11">
        <f>IF(B202="","",ROUND(N(C202)*G202,2))</f>
        <v/>
      </c>
      <c r="I202" s="11">
        <f>IF(B202="","",N(C202)+N(D202)+N(E202)-H202)</f>
        <v/>
      </c>
    </row>
    <row r="203">
      <c r="A203" s="8" t="n"/>
      <c r="B203" s="6" t="n"/>
      <c r="C203" s="9" t="n"/>
      <c r="D203" s="9" t="n"/>
      <c r="E203" s="9" t="n"/>
      <c r="F203" s="10">
        <f>IF(A203="","",IF(DAY(A203)&lt;=5,DATE(YEAR(A203),MONTH(A203),5),DATE(YEAR(A203),MONTH(A203)+1,5)))</f>
        <v/>
      </c>
      <c r="G203" s="7">
        <f>IF(B203="","",IFERROR(INDEX(Subcontractors!$E$2:$E$101,MATCH(B203,Subcontractors!$A$2:$A$101,0)),0.3))</f>
        <v/>
      </c>
      <c r="H203" s="11">
        <f>IF(B203="","",ROUND(N(C203)*G203,2))</f>
        <v/>
      </c>
      <c r="I203" s="11">
        <f>IF(B203="","",N(C203)+N(D203)+N(E203)-H203)</f>
        <v/>
      </c>
    </row>
    <row r="204">
      <c r="A204" s="8" t="n"/>
      <c r="B204" s="6" t="n"/>
      <c r="C204" s="9" t="n"/>
      <c r="D204" s="9" t="n"/>
      <c r="E204" s="9" t="n"/>
      <c r="F204" s="10">
        <f>IF(A204="","",IF(DAY(A204)&lt;=5,DATE(YEAR(A204),MONTH(A204),5),DATE(YEAR(A204),MONTH(A204)+1,5)))</f>
        <v/>
      </c>
      <c r="G204" s="7">
        <f>IF(B204="","",IFERROR(INDEX(Subcontractors!$E$2:$E$101,MATCH(B204,Subcontractors!$A$2:$A$101,0)),0.3))</f>
        <v/>
      </c>
      <c r="H204" s="11">
        <f>IF(B204="","",ROUND(N(C204)*G204,2))</f>
        <v/>
      </c>
      <c r="I204" s="11">
        <f>IF(B204="","",N(C204)+N(D204)+N(E204)-H204)</f>
        <v/>
      </c>
    </row>
    <row r="205">
      <c r="A205" s="8" t="n"/>
      <c r="B205" s="6" t="n"/>
      <c r="C205" s="9" t="n"/>
      <c r="D205" s="9" t="n"/>
      <c r="E205" s="9" t="n"/>
      <c r="F205" s="10">
        <f>IF(A205="","",IF(DAY(A205)&lt;=5,DATE(YEAR(A205),MONTH(A205),5),DATE(YEAR(A205),MONTH(A205)+1,5)))</f>
        <v/>
      </c>
      <c r="G205" s="7">
        <f>IF(B205="","",IFERROR(INDEX(Subcontractors!$E$2:$E$101,MATCH(B205,Subcontractors!$A$2:$A$101,0)),0.3))</f>
        <v/>
      </c>
      <c r="H205" s="11">
        <f>IF(B205="","",ROUND(N(C205)*G205,2))</f>
        <v/>
      </c>
      <c r="I205" s="11">
        <f>IF(B205="","",N(C205)+N(D205)+N(E205)-H205)</f>
        <v/>
      </c>
    </row>
    <row r="206">
      <c r="A206" s="8" t="n"/>
      <c r="B206" s="6" t="n"/>
      <c r="C206" s="9" t="n"/>
      <c r="D206" s="9" t="n"/>
      <c r="E206" s="9" t="n"/>
      <c r="F206" s="10">
        <f>IF(A206="","",IF(DAY(A206)&lt;=5,DATE(YEAR(A206),MONTH(A206),5),DATE(YEAR(A206),MONTH(A206)+1,5)))</f>
        <v/>
      </c>
      <c r="G206" s="7">
        <f>IF(B206="","",IFERROR(INDEX(Subcontractors!$E$2:$E$101,MATCH(B206,Subcontractors!$A$2:$A$101,0)),0.3))</f>
        <v/>
      </c>
      <c r="H206" s="11">
        <f>IF(B206="","",ROUND(N(C206)*G206,2))</f>
        <v/>
      </c>
      <c r="I206" s="11">
        <f>IF(B206="","",N(C206)+N(D206)+N(E206)-H206)</f>
        <v/>
      </c>
    </row>
    <row r="207">
      <c r="A207" s="8" t="n"/>
      <c r="B207" s="6" t="n"/>
      <c r="C207" s="9" t="n"/>
      <c r="D207" s="9" t="n"/>
      <c r="E207" s="9" t="n"/>
      <c r="F207" s="10">
        <f>IF(A207="","",IF(DAY(A207)&lt;=5,DATE(YEAR(A207),MONTH(A207),5),DATE(YEAR(A207),MONTH(A207)+1,5)))</f>
        <v/>
      </c>
      <c r="G207" s="7">
        <f>IF(B207="","",IFERROR(INDEX(Subcontractors!$E$2:$E$101,MATCH(B207,Subcontractors!$A$2:$A$101,0)),0.3))</f>
        <v/>
      </c>
      <c r="H207" s="11">
        <f>IF(B207="","",ROUND(N(C207)*G207,2))</f>
        <v/>
      </c>
      <c r="I207" s="11">
        <f>IF(B207="","",N(C207)+N(D207)+N(E207)-H207)</f>
        <v/>
      </c>
    </row>
    <row r="208">
      <c r="A208" s="8" t="n"/>
      <c r="B208" s="6" t="n"/>
      <c r="C208" s="9" t="n"/>
      <c r="D208" s="9" t="n"/>
      <c r="E208" s="9" t="n"/>
      <c r="F208" s="10">
        <f>IF(A208="","",IF(DAY(A208)&lt;=5,DATE(YEAR(A208),MONTH(A208),5),DATE(YEAR(A208),MONTH(A208)+1,5)))</f>
        <v/>
      </c>
      <c r="G208" s="7">
        <f>IF(B208="","",IFERROR(INDEX(Subcontractors!$E$2:$E$101,MATCH(B208,Subcontractors!$A$2:$A$101,0)),0.3))</f>
        <v/>
      </c>
      <c r="H208" s="11">
        <f>IF(B208="","",ROUND(N(C208)*G208,2))</f>
        <v/>
      </c>
      <c r="I208" s="11">
        <f>IF(B208="","",N(C208)+N(D208)+N(E208)-H208)</f>
        <v/>
      </c>
    </row>
    <row r="209">
      <c r="A209" s="8" t="n"/>
      <c r="B209" s="6" t="n"/>
      <c r="C209" s="9" t="n"/>
      <c r="D209" s="9" t="n"/>
      <c r="E209" s="9" t="n"/>
      <c r="F209" s="10">
        <f>IF(A209="","",IF(DAY(A209)&lt;=5,DATE(YEAR(A209),MONTH(A209),5),DATE(YEAR(A209),MONTH(A209)+1,5)))</f>
        <v/>
      </c>
      <c r="G209" s="7">
        <f>IF(B209="","",IFERROR(INDEX(Subcontractors!$E$2:$E$101,MATCH(B209,Subcontractors!$A$2:$A$101,0)),0.3))</f>
        <v/>
      </c>
      <c r="H209" s="11">
        <f>IF(B209="","",ROUND(N(C209)*G209,2))</f>
        <v/>
      </c>
      <c r="I209" s="11">
        <f>IF(B209="","",N(C209)+N(D209)+N(E209)-H209)</f>
        <v/>
      </c>
    </row>
    <row r="210">
      <c r="A210" s="8" t="n"/>
      <c r="B210" s="6" t="n"/>
      <c r="C210" s="9" t="n"/>
      <c r="D210" s="9" t="n"/>
      <c r="E210" s="9" t="n"/>
      <c r="F210" s="10">
        <f>IF(A210="","",IF(DAY(A210)&lt;=5,DATE(YEAR(A210),MONTH(A210),5),DATE(YEAR(A210),MONTH(A210)+1,5)))</f>
        <v/>
      </c>
      <c r="G210" s="7">
        <f>IF(B210="","",IFERROR(INDEX(Subcontractors!$E$2:$E$101,MATCH(B210,Subcontractors!$A$2:$A$101,0)),0.3))</f>
        <v/>
      </c>
      <c r="H210" s="11">
        <f>IF(B210="","",ROUND(N(C210)*G210,2))</f>
        <v/>
      </c>
      <c r="I210" s="11">
        <f>IF(B210="","",N(C210)+N(D210)+N(E210)-H210)</f>
        <v/>
      </c>
    </row>
    <row r="211">
      <c r="A211" s="8" t="n"/>
      <c r="B211" s="6" t="n"/>
      <c r="C211" s="9" t="n"/>
      <c r="D211" s="9" t="n"/>
      <c r="E211" s="9" t="n"/>
      <c r="F211" s="10">
        <f>IF(A211="","",IF(DAY(A211)&lt;=5,DATE(YEAR(A211),MONTH(A211),5),DATE(YEAR(A211),MONTH(A211)+1,5)))</f>
        <v/>
      </c>
      <c r="G211" s="7">
        <f>IF(B211="","",IFERROR(INDEX(Subcontractors!$E$2:$E$101,MATCH(B211,Subcontractors!$A$2:$A$101,0)),0.3))</f>
        <v/>
      </c>
      <c r="H211" s="11">
        <f>IF(B211="","",ROUND(N(C211)*G211,2))</f>
        <v/>
      </c>
      <c r="I211" s="11">
        <f>IF(B211="","",N(C211)+N(D211)+N(E211)-H211)</f>
        <v/>
      </c>
    </row>
    <row r="212">
      <c r="A212" s="8" t="n"/>
      <c r="B212" s="6" t="n"/>
      <c r="C212" s="9" t="n"/>
      <c r="D212" s="9" t="n"/>
      <c r="E212" s="9" t="n"/>
      <c r="F212" s="10">
        <f>IF(A212="","",IF(DAY(A212)&lt;=5,DATE(YEAR(A212),MONTH(A212),5),DATE(YEAR(A212),MONTH(A212)+1,5)))</f>
        <v/>
      </c>
      <c r="G212" s="7">
        <f>IF(B212="","",IFERROR(INDEX(Subcontractors!$E$2:$E$101,MATCH(B212,Subcontractors!$A$2:$A$101,0)),0.3))</f>
        <v/>
      </c>
      <c r="H212" s="11">
        <f>IF(B212="","",ROUND(N(C212)*G212,2))</f>
        <v/>
      </c>
      <c r="I212" s="11">
        <f>IF(B212="","",N(C212)+N(D212)+N(E212)-H212)</f>
        <v/>
      </c>
    </row>
    <row r="213">
      <c r="A213" s="8" t="n"/>
      <c r="B213" s="6" t="n"/>
      <c r="C213" s="9" t="n"/>
      <c r="D213" s="9" t="n"/>
      <c r="E213" s="9" t="n"/>
      <c r="F213" s="10">
        <f>IF(A213="","",IF(DAY(A213)&lt;=5,DATE(YEAR(A213),MONTH(A213),5),DATE(YEAR(A213),MONTH(A213)+1,5)))</f>
        <v/>
      </c>
      <c r="G213" s="7">
        <f>IF(B213="","",IFERROR(INDEX(Subcontractors!$E$2:$E$101,MATCH(B213,Subcontractors!$A$2:$A$101,0)),0.3))</f>
        <v/>
      </c>
      <c r="H213" s="11">
        <f>IF(B213="","",ROUND(N(C213)*G213,2))</f>
        <v/>
      </c>
      <c r="I213" s="11">
        <f>IF(B213="","",N(C213)+N(D213)+N(E213)-H213)</f>
        <v/>
      </c>
    </row>
    <row r="214">
      <c r="A214" s="8" t="n"/>
      <c r="B214" s="6" t="n"/>
      <c r="C214" s="9" t="n"/>
      <c r="D214" s="9" t="n"/>
      <c r="E214" s="9" t="n"/>
      <c r="F214" s="10">
        <f>IF(A214="","",IF(DAY(A214)&lt;=5,DATE(YEAR(A214),MONTH(A214),5),DATE(YEAR(A214),MONTH(A214)+1,5)))</f>
        <v/>
      </c>
      <c r="G214" s="7">
        <f>IF(B214="","",IFERROR(INDEX(Subcontractors!$E$2:$E$101,MATCH(B214,Subcontractors!$A$2:$A$101,0)),0.3))</f>
        <v/>
      </c>
      <c r="H214" s="11">
        <f>IF(B214="","",ROUND(N(C214)*G214,2))</f>
        <v/>
      </c>
      <c r="I214" s="11">
        <f>IF(B214="","",N(C214)+N(D214)+N(E214)-H214)</f>
        <v/>
      </c>
    </row>
    <row r="215">
      <c r="A215" s="8" t="n"/>
      <c r="B215" s="6" t="n"/>
      <c r="C215" s="9" t="n"/>
      <c r="D215" s="9" t="n"/>
      <c r="E215" s="9" t="n"/>
      <c r="F215" s="10">
        <f>IF(A215="","",IF(DAY(A215)&lt;=5,DATE(YEAR(A215),MONTH(A215),5),DATE(YEAR(A215),MONTH(A215)+1,5)))</f>
        <v/>
      </c>
      <c r="G215" s="7">
        <f>IF(B215="","",IFERROR(INDEX(Subcontractors!$E$2:$E$101,MATCH(B215,Subcontractors!$A$2:$A$101,0)),0.3))</f>
        <v/>
      </c>
      <c r="H215" s="11">
        <f>IF(B215="","",ROUND(N(C215)*G215,2))</f>
        <v/>
      </c>
      <c r="I215" s="11">
        <f>IF(B215="","",N(C215)+N(D215)+N(E215)-H215)</f>
        <v/>
      </c>
    </row>
    <row r="216">
      <c r="A216" s="8" t="n"/>
      <c r="B216" s="6" t="n"/>
      <c r="C216" s="9" t="n"/>
      <c r="D216" s="9" t="n"/>
      <c r="E216" s="9" t="n"/>
      <c r="F216" s="10">
        <f>IF(A216="","",IF(DAY(A216)&lt;=5,DATE(YEAR(A216),MONTH(A216),5),DATE(YEAR(A216),MONTH(A216)+1,5)))</f>
        <v/>
      </c>
      <c r="G216" s="7">
        <f>IF(B216="","",IFERROR(INDEX(Subcontractors!$E$2:$E$101,MATCH(B216,Subcontractors!$A$2:$A$101,0)),0.3))</f>
        <v/>
      </c>
      <c r="H216" s="11">
        <f>IF(B216="","",ROUND(N(C216)*G216,2))</f>
        <v/>
      </c>
      <c r="I216" s="11">
        <f>IF(B216="","",N(C216)+N(D216)+N(E216)-H216)</f>
        <v/>
      </c>
    </row>
    <row r="217">
      <c r="A217" s="8" t="n"/>
      <c r="B217" s="6" t="n"/>
      <c r="C217" s="9" t="n"/>
      <c r="D217" s="9" t="n"/>
      <c r="E217" s="9" t="n"/>
      <c r="F217" s="10">
        <f>IF(A217="","",IF(DAY(A217)&lt;=5,DATE(YEAR(A217),MONTH(A217),5),DATE(YEAR(A217),MONTH(A217)+1,5)))</f>
        <v/>
      </c>
      <c r="G217" s="7">
        <f>IF(B217="","",IFERROR(INDEX(Subcontractors!$E$2:$E$101,MATCH(B217,Subcontractors!$A$2:$A$101,0)),0.3))</f>
        <v/>
      </c>
      <c r="H217" s="11">
        <f>IF(B217="","",ROUND(N(C217)*G217,2))</f>
        <v/>
      </c>
      <c r="I217" s="11">
        <f>IF(B217="","",N(C217)+N(D217)+N(E217)-H217)</f>
        <v/>
      </c>
    </row>
    <row r="218">
      <c r="A218" s="8" t="n"/>
      <c r="B218" s="6" t="n"/>
      <c r="C218" s="9" t="n"/>
      <c r="D218" s="9" t="n"/>
      <c r="E218" s="9" t="n"/>
      <c r="F218" s="10">
        <f>IF(A218="","",IF(DAY(A218)&lt;=5,DATE(YEAR(A218),MONTH(A218),5),DATE(YEAR(A218),MONTH(A218)+1,5)))</f>
        <v/>
      </c>
      <c r="G218" s="7">
        <f>IF(B218="","",IFERROR(INDEX(Subcontractors!$E$2:$E$101,MATCH(B218,Subcontractors!$A$2:$A$101,0)),0.3))</f>
        <v/>
      </c>
      <c r="H218" s="11">
        <f>IF(B218="","",ROUND(N(C218)*G218,2))</f>
        <v/>
      </c>
      <c r="I218" s="11">
        <f>IF(B218="","",N(C218)+N(D218)+N(E218)-H218)</f>
        <v/>
      </c>
    </row>
    <row r="219">
      <c r="A219" s="8" t="n"/>
      <c r="B219" s="6" t="n"/>
      <c r="C219" s="9" t="n"/>
      <c r="D219" s="9" t="n"/>
      <c r="E219" s="9" t="n"/>
      <c r="F219" s="10">
        <f>IF(A219="","",IF(DAY(A219)&lt;=5,DATE(YEAR(A219),MONTH(A219),5),DATE(YEAR(A219),MONTH(A219)+1,5)))</f>
        <v/>
      </c>
      <c r="G219" s="7">
        <f>IF(B219="","",IFERROR(INDEX(Subcontractors!$E$2:$E$101,MATCH(B219,Subcontractors!$A$2:$A$101,0)),0.3))</f>
        <v/>
      </c>
      <c r="H219" s="11">
        <f>IF(B219="","",ROUND(N(C219)*G219,2))</f>
        <v/>
      </c>
      <c r="I219" s="11">
        <f>IF(B219="","",N(C219)+N(D219)+N(E219)-H219)</f>
        <v/>
      </c>
    </row>
    <row r="220">
      <c r="A220" s="8" t="n"/>
      <c r="B220" s="6" t="n"/>
      <c r="C220" s="9" t="n"/>
      <c r="D220" s="9" t="n"/>
      <c r="E220" s="9" t="n"/>
      <c r="F220" s="10">
        <f>IF(A220="","",IF(DAY(A220)&lt;=5,DATE(YEAR(A220),MONTH(A220),5),DATE(YEAR(A220),MONTH(A220)+1,5)))</f>
        <v/>
      </c>
      <c r="G220" s="7">
        <f>IF(B220="","",IFERROR(INDEX(Subcontractors!$E$2:$E$101,MATCH(B220,Subcontractors!$A$2:$A$101,0)),0.3))</f>
        <v/>
      </c>
      <c r="H220" s="11">
        <f>IF(B220="","",ROUND(N(C220)*G220,2))</f>
        <v/>
      </c>
      <c r="I220" s="11">
        <f>IF(B220="","",N(C220)+N(D220)+N(E220)-H220)</f>
        <v/>
      </c>
    </row>
    <row r="221">
      <c r="A221" s="8" t="n"/>
      <c r="B221" s="6" t="n"/>
      <c r="C221" s="9" t="n"/>
      <c r="D221" s="9" t="n"/>
      <c r="E221" s="9" t="n"/>
      <c r="F221" s="10">
        <f>IF(A221="","",IF(DAY(A221)&lt;=5,DATE(YEAR(A221),MONTH(A221),5),DATE(YEAR(A221),MONTH(A221)+1,5)))</f>
        <v/>
      </c>
      <c r="G221" s="7">
        <f>IF(B221="","",IFERROR(INDEX(Subcontractors!$E$2:$E$101,MATCH(B221,Subcontractors!$A$2:$A$101,0)),0.3))</f>
        <v/>
      </c>
      <c r="H221" s="11">
        <f>IF(B221="","",ROUND(N(C221)*G221,2))</f>
        <v/>
      </c>
      <c r="I221" s="11">
        <f>IF(B221="","",N(C221)+N(D221)+N(E221)-H221)</f>
        <v/>
      </c>
    </row>
    <row r="222">
      <c r="A222" s="8" t="n"/>
      <c r="B222" s="6" t="n"/>
      <c r="C222" s="9" t="n"/>
      <c r="D222" s="9" t="n"/>
      <c r="E222" s="9" t="n"/>
      <c r="F222" s="10">
        <f>IF(A222="","",IF(DAY(A222)&lt;=5,DATE(YEAR(A222),MONTH(A222),5),DATE(YEAR(A222),MONTH(A222)+1,5)))</f>
        <v/>
      </c>
      <c r="G222" s="7">
        <f>IF(B222="","",IFERROR(INDEX(Subcontractors!$E$2:$E$101,MATCH(B222,Subcontractors!$A$2:$A$101,0)),0.3))</f>
        <v/>
      </c>
      <c r="H222" s="11">
        <f>IF(B222="","",ROUND(N(C222)*G222,2))</f>
        <v/>
      </c>
      <c r="I222" s="11">
        <f>IF(B222="","",N(C222)+N(D222)+N(E222)-H222)</f>
        <v/>
      </c>
    </row>
    <row r="223">
      <c r="A223" s="8" t="n"/>
      <c r="B223" s="6" t="n"/>
      <c r="C223" s="9" t="n"/>
      <c r="D223" s="9" t="n"/>
      <c r="E223" s="9" t="n"/>
      <c r="F223" s="10">
        <f>IF(A223="","",IF(DAY(A223)&lt;=5,DATE(YEAR(A223),MONTH(A223),5),DATE(YEAR(A223),MONTH(A223)+1,5)))</f>
        <v/>
      </c>
      <c r="G223" s="7">
        <f>IF(B223="","",IFERROR(INDEX(Subcontractors!$E$2:$E$101,MATCH(B223,Subcontractors!$A$2:$A$101,0)),0.3))</f>
        <v/>
      </c>
      <c r="H223" s="11">
        <f>IF(B223="","",ROUND(N(C223)*G223,2))</f>
        <v/>
      </c>
      <c r="I223" s="11">
        <f>IF(B223="","",N(C223)+N(D223)+N(E223)-H223)</f>
        <v/>
      </c>
    </row>
    <row r="224">
      <c r="A224" s="8" t="n"/>
      <c r="B224" s="6" t="n"/>
      <c r="C224" s="9" t="n"/>
      <c r="D224" s="9" t="n"/>
      <c r="E224" s="9" t="n"/>
      <c r="F224" s="10">
        <f>IF(A224="","",IF(DAY(A224)&lt;=5,DATE(YEAR(A224),MONTH(A224),5),DATE(YEAR(A224),MONTH(A224)+1,5)))</f>
        <v/>
      </c>
      <c r="G224" s="7">
        <f>IF(B224="","",IFERROR(INDEX(Subcontractors!$E$2:$E$101,MATCH(B224,Subcontractors!$A$2:$A$101,0)),0.3))</f>
        <v/>
      </c>
      <c r="H224" s="11">
        <f>IF(B224="","",ROUND(N(C224)*G224,2))</f>
        <v/>
      </c>
      <c r="I224" s="11">
        <f>IF(B224="","",N(C224)+N(D224)+N(E224)-H224)</f>
        <v/>
      </c>
    </row>
    <row r="225">
      <c r="A225" s="8" t="n"/>
      <c r="B225" s="6" t="n"/>
      <c r="C225" s="9" t="n"/>
      <c r="D225" s="9" t="n"/>
      <c r="E225" s="9" t="n"/>
      <c r="F225" s="10">
        <f>IF(A225="","",IF(DAY(A225)&lt;=5,DATE(YEAR(A225),MONTH(A225),5),DATE(YEAR(A225),MONTH(A225)+1,5)))</f>
        <v/>
      </c>
      <c r="G225" s="7">
        <f>IF(B225="","",IFERROR(INDEX(Subcontractors!$E$2:$E$101,MATCH(B225,Subcontractors!$A$2:$A$101,0)),0.3))</f>
        <v/>
      </c>
      <c r="H225" s="11">
        <f>IF(B225="","",ROUND(N(C225)*G225,2))</f>
        <v/>
      </c>
      <c r="I225" s="11">
        <f>IF(B225="","",N(C225)+N(D225)+N(E225)-H225)</f>
        <v/>
      </c>
    </row>
    <row r="226">
      <c r="A226" s="8" t="n"/>
      <c r="B226" s="6" t="n"/>
      <c r="C226" s="9" t="n"/>
      <c r="D226" s="9" t="n"/>
      <c r="E226" s="9" t="n"/>
      <c r="F226" s="10">
        <f>IF(A226="","",IF(DAY(A226)&lt;=5,DATE(YEAR(A226),MONTH(A226),5),DATE(YEAR(A226),MONTH(A226)+1,5)))</f>
        <v/>
      </c>
      <c r="G226" s="7">
        <f>IF(B226="","",IFERROR(INDEX(Subcontractors!$E$2:$E$101,MATCH(B226,Subcontractors!$A$2:$A$101,0)),0.3))</f>
        <v/>
      </c>
      <c r="H226" s="11">
        <f>IF(B226="","",ROUND(N(C226)*G226,2))</f>
        <v/>
      </c>
      <c r="I226" s="11">
        <f>IF(B226="","",N(C226)+N(D226)+N(E226)-H226)</f>
        <v/>
      </c>
    </row>
    <row r="227">
      <c r="A227" s="8" t="n"/>
      <c r="B227" s="6" t="n"/>
      <c r="C227" s="9" t="n"/>
      <c r="D227" s="9" t="n"/>
      <c r="E227" s="9" t="n"/>
      <c r="F227" s="10">
        <f>IF(A227="","",IF(DAY(A227)&lt;=5,DATE(YEAR(A227),MONTH(A227),5),DATE(YEAR(A227),MONTH(A227)+1,5)))</f>
        <v/>
      </c>
      <c r="G227" s="7">
        <f>IF(B227="","",IFERROR(INDEX(Subcontractors!$E$2:$E$101,MATCH(B227,Subcontractors!$A$2:$A$101,0)),0.3))</f>
        <v/>
      </c>
      <c r="H227" s="11">
        <f>IF(B227="","",ROUND(N(C227)*G227,2))</f>
        <v/>
      </c>
      <c r="I227" s="11">
        <f>IF(B227="","",N(C227)+N(D227)+N(E227)-H227)</f>
        <v/>
      </c>
    </row>
    <row r="228">
      <c r="A228" s="8" t="n"/>
      <c r="B228" s="6" t="n"/>
      <c r="C228" s="9" t="n"/>
      <c r="D228" s="9" t="n"/>
      <c r="E228" s="9" t="n"/>
      <c r="F228" s="10">
        <f>IF(A228="","",IF(DAY(A228)&lt;=5,DATE(YEAR(A228),MONTH(A228),5),DATE(YEAR(A228),MONTH(A228)+1,5)))</f>
        <v/>
      </c>
      <c r="G228" s="7">
        <f>IF(B228="","",IFERROR(INDEX(Subcontractors!$E$2:$E$101,MATCH(B228,Subcontractors!$A$2:$A$101,0)),0.3))</f>
        <v/>
      </c>
      <c r="H228" s="11">
        <f>IF(B228="","",ROUND(N(C228)*G228,2))</f>
        <v/>
      </c>
      <c r="I228" s="11">
        <f>IF(B228="","",N(C228)+N(D228)+N(E228)-H228)</f>
        <v/>
      </c>
    </row>
    <row r="229">
      <c r="A229" s="8" t="n"/>
      <c r="B229" s="6" t="n"/>
      <c r="C229" s="9" t="n"/>
      <c r="D229" s="9" t="n"/>
      <c r="E229" s="9" t="n"/>
      <c r="F229" s="10">
        <f>IF(A229="","",IF(DAY(A229)&lt;=5,DATE(YEAR(A229),MONTH(A229),5),DATE(YEAR(A229),MONTH(A229)+1,5)))</f>
        <v/>
      </c>
      <c r="G229" s="7">
        <f>IF(B229="","",IFERROR(INDEX(Subcontractors!$E$2:$E$101,MATCH(B229,Subcontractors!$A$2:$A$101,0)),0.3))</f>
        <v/>
      </c>
      <c r="H229" s="11">
        <f>IF(B229="","",ROUND(N(C229)*G229,2))</f>
        <v/>
      </c>
      <c r="I229" s="11">
        <f>IF(B229="","",N(C229)+N(D229)+N(E229)-H229)</f>
        <v/>
      </c>
    </row>
    <row r="230">
      <c r="A230" s="8" t="n"/>
      <c r="B230" s="6" t="n"/>
      <c r="C230" s="9" t="n"/>
      <c r="D230" s="9" t="n"/>
      <c r="E230" s="9" t="n"/>
      <c r="F230" s="10">
        <f>IF(A230="","",IF(DAY(A230)&lt;=5,DATE(YEAR(A230),MONTH(A230),5),DATE(YEAR(A230),MONTH(A230)+1,5)))</f>
        <v/>
      </c>
      <c r="G230" s="7">
        <f>IF(B230="","",IFERROR(INDEX(Subcontractors!$E$2:$E$101,MATCH(B230,Subcontractors!$A$2:$A$101,0)),0.3))</f>
        <v/>
      </c>
      <c r="H230" s="11">
        <f>IF(B230="","",ROUND(N(C230)*G230,2))</f>
        <v/>
      </c>
      <c r="I230" s="11">
        <f>IF(B230="","",N(C230)+N(D230)+N(E230)-H230)</f>
        <v/>
      </c>
    </row>
    <row r="231">
      <c r="A231" s="8" t="n"/>
      <c r="B231" s="6" t="n"/>
      <c r="C231" s="9" t="n"/>
      <c r="D231" s="9" t="n"/>
      <c r="E231" s="9" t="n"/>
      <c r="F231" s="10">
        <f>IF(A231="","",IF(DAY(A231)&lt;=5,DATE(YEAR(A231),MONTH(A231),5),DATE(YEAR(A231),MONTH(A231)+1,5)))</f>
        <v/>
      </c>
      <c r="G231" s="7">
        <f>IF(B231="","",IFERROR(INDEX(Subcontractors!$E$2:$E$101,MATCH(B231,Subcontractors!$A$2:$A$101,0)),0.3))</f>
        <v/>
      </c>
      <c r="H231" s="11">
        <f>IF(B231="","",ROUND(N(C231)*G231,2))</f>
        <v/>
      </c>
      <c r="I231" s="11">
        <f>IF(B231="","",N(C231)+N(D231)+N(E231)-H231)</f>
        <v/>
      </c>
    </row>
    <row r="232">
      <c r="A232" s="8" t="n"/>
      <c r="B232" s="6" t="n"/>
      <c r="C232" s="9" t="n"/>
      <c r="D232" s="9" t="n"/>
      <c r="E232" s="9" t="n"/>
      <c r="F232" s="10">
        <f>IF(A232="","",IF(DAY(A232)&lt;=5,DATE(YEAR(A232),MONTH(A232),5),DATE(YEAR(A232),MONTH(A232)+1,5)))</f>
        <v/>
      </c>
      <c r="G232" s="7">
        <f>IF(B232="","",IFERROR(INDEX(Subcontractors!$E$2:$E$101,MATCH(B232,Subcontractors!$A$2:$A$101,0)),0.3))</f>
        <v/>
      </c>
      <c r="H232" s="11">
        <f>IF(B232="","",ROUND(N(C232)*G232,2))</f>
        <v/>
      </c>
      <c r="I232" s="11">
        <f>IF(B232="","",N(C232)+N(D232)+N(E232)-H232)</f>
        <v/>
      </c>
    </row>
    <row r="233">
      <c r="A233" s="8" t="n"/>
      <c r="B233" s="6" t="n"/>
      <c r="C233" s="9" t="n"/>
      <c r="D233" s="9" t="n"/>
      <c r="E233" s="9" t="n"/>
      <c r="F233" s="10">
        <f>IF(A233="","",IF(DAY(A233)&lt;=5,DATE(YEAR(A233),MONTH(A233),5),DATE(YEAR(A233),MONTH(A233)+1,5)))</f>
        <v/>
      </c>
      <c r="G233" s="7">
        <f>IF(B233="","",IFERROR(INDEX(Subcontractors!$E$2:$E$101,MATCH(B233,Subcontractors!$A$2:$A$101,0)),0.3))</f>
        <v/>
      </c>
      <c r="H233" s="11">
        <f>IF(B233="","",ROUND(N(C233)*G233,2))</f>
        <v/>
      </c>
      <c r="I233" s="11">
        <f>IF(B233="","",N(C233)+N(D233)+N(E233)-H233)</f>
        <v/>
      </c>
    </row>
    <row r="234">
      <c r="A234" s="8" t="n"/>
      <c r="B234" s="6" t="n"/>
      <c r="C234" s="9" t="n"/>
      <c r="D234" s="9" t="n"/>
      <c r="E234" s="9" t="n"/>
      <c r="F234" s="10">
        <f>IF(A234="","",IF(DAY(A234)&lt;=5,DATE(YEAR(A234),MONTH(A234),5),DATE(YEAR(A234),MONTH(A234)+1,5)))</f>
        <v/>
      </c>
      <c r="G234" s="7">
        <f>IF(B234="","",IFERROR(INDEX(Subcontractors!$E$2:$E$101,MATCH(B234,Subcontractors!$A$2:$A$101,0)),0.3))</f>
        <v/>
      </c>
      <c r="H234" s="11">
        <f>IF(B234="","",ROUND(N(C234)*G234,2))</f>
        <v/>
      </c>
      <c r="I234" s="11">
        <f>IF(B234="","",N(C234)+N(D234)+N(E234)-H234)</f>
        <v/>
      </c>
    </row>
    <row r="235">
      <c r="A235" s="8" t="n"/>
      <c r="B235" s="6" t="n"/>
      <c r="C235" s="9" t="n"/>
      <c r="D235" s="9" t="n"/>
      <c r="E235" s="9" t="n"/>
      <c r="F235" s="10">
        <f>IF(A235="","",IF(DAY(A235)&lt;=5,DATE(YEAR(A235),MONTH(A235),5),DATE(YEAR(A235),MONTH(A235)+1,5)))</f>
        <v/>
      </c>
      <c r="G235" s="7">
        <f>IF(B235="","",IFERROR(INDEX(Subcontractors!$E$2:$E$101,MATCH(B235,Subcontractors!$A$2:$A$101,0)),0.3))</f>
        <v/>
      </c>
      <c r="H235" s="11">
        <f>IF(B235="","",ROUND(N(C235)*G235,2))</f>
        <v/>
      </c>
      <c r="I235" s="11">
        <f>IF(B235="","",N(C235)+N(D235)+N(E235)-H235)</f>
        <v/>
      </c>
    </row>
    <row r="236">
      <c r="A236" s="8" t="n"/>
      <c r="B236" s="6" t="n"/>
      <c r="C236" s="9" t="n"/>
      <c r="D236" s="9" t="n"/>
      <c r="E236" s="9" t="n"/>
      <c r="F236" s="10">
        <f>IF(A236="","",IF(DAY(A236)&lt;=5,DATE(YEAR(A236),MONTH(A236),5),DATE(YEAR(A236),MONTH(A236)+1,5)))</f>
        <v/>
      </c>
      <c r="G236" s="7">
        <f>IF(B236="","",IFERROR(INDEX(Subcontractors!$E$2:$E$101,MATCH(B236,Subcontractors!$A$2:$A$101,0)),0.3))</f>
        <v/>
      </c>
      <c r="H236" s="11">
        <f>IF(B236="","",ROUND(N(C236)*G236,2))</f>
        <v/>
      </c>
      <c r="I236" s="11">
        <f>IF(B236="","",N(C236)+N(D236)+N(E236)-H236)</f>
        <v/>
      </c>
    </row>
    <row r="237">
      <c r="A237" s="8" t="n"/>
      <c r="B237" s="6" t="n"/>
      <c r="C237" s="9" t="n"/>
      <c r="D237" s="9" t="n"/>
      <c r="E237" s="9" t="n"/>
      <c r="F237" s="10">
        <f>IF(A237="","",IF(DAY(A237)&lt;=5,DATE(YEAR(A237),MONTH(A237),5),DATE(YEAR(A237),MONTH(A237)+1,5)))</f>
        <v/>
      </c>
      <c r="G237" s="7">
        <f>IF(B237="","",IFERROR(INDEX(Subcontractors!$E$2:$E$101,MATCH(B237,Subcontractors!$A$2:$A$101,0)),0.3))</f>
        <v/>
      </c>
      <c r="H237" s="11">
        <f>IF(B237="","",ROUND(N(C237)*G237,2))</f>
        <v/>
      </c>
      <c r="I237" s="11">
        <f>IF(B237="","",N(C237)+N(D237)+N(E237)-H237)</f>
        <v/>
      </c>
    </row>
    <row r="238">
      <c r="A238" s="8" t="n"/>
      <c r="B238" s="6" t="n"/>
      <c r="C238" s="9" t="n"/>
      <c r="D238" s="9" t="n"/>
      <c r="E238" s="9" t="n"/>
      <c r="F238" s="10">
        <f>IF(A238="","",IF(DAY(A238)&lt;=5,DATE(YEAR(A238),MONTH(A238),5),DATE(YEAR(A238),MONTH(A238)+1,5)))</f>
        <v/>
      </c>
      <c r="G238" s="7">
        <f>IF(B238="","",IFERROR(INDEX(Subcontractors!$E$2:$E$101,MATCH(B238,Subcontractors!$A$2:$A$101,0)),0.3))</f>
        <v/>
      </c>
      <c r="H238" s="11">
        <f>IF(B238="","",ROUND(N(C238)*G238,2))</f>
        <v/>
      </c>
      <c r="I238" s="11">
        <f>IF(B238="","",N(C238)+N(D238)+N(E238)-H238)</f>
        <v/>
      </c>
    </row>
    <row r="239">
      <c r="A239" s="8" t="n"/>
      <c r="B239" s="6" t="n"/>
      <c r="C239" s="9" t="n"/>
      <c r="D239" s="9" t="n"/>
      <c r="E239" s="9" t="n"/>
      <c r="F239" s="10">
        <f>IF(A239="","",IF(DAY(A239)&lt;=5,DATE(YEAR(A239),MONTH(A239),5),DATE(YEAR(A239),MONTH(A239)+1,5)))</f>
        <v/>
      </c>
      <c r="G239" s="7">
        <f>IF(B239="","",IFERROR(INDEX(Subcontractors!$E$2:$E$101,MATCH(B239,Subcontractors!$A$2:$A$101,0)),0.3))</f>
        <v/>
      </c>
      <c r="H239" s="11">
        <f>IF(B239="","",ROUND(N(C239)*G239,2))</f>
        <v/>
      </c>
      <c r="I239" s="11">
        <f>IF(B239="","",N(C239)+N(D239)+N(E239)-H239)</f>
        <v/>
      </c>
    </row>
    <row r="240">
      <c r="A240" s="8" t="n"/>
      <c r="B240" s="6" t="n"/>
      <c r="C240" s="9" t="n"/>
      <c r="D240" s="9" t="n"/>
      <c r="E240" s="9" t="n"/>
      <c r="F240" s="10">
        <f>IF(A240="","",IF(DAY(A240)&lt;=5,DATE(YEAR(A240),MONTH(A240),5),DATE(YEAR(A240),MONTH(A240)+1,5)))</f>
        <v/>
      </c>
      <c r="G240" s="7">
        <f>IF(B240="","",IFERROR(INDEX(Subcontractors!$E$2:$E$101,MATCH(B240,Subcontractors!$A$2:$A$101,0)),0.3))</f>
        <v/>
      </c>
      <c r="H240" s="11">
        <f>IF(B240="","",ROUND(N(C240)*G240,2))</f>
        <v/>
      </c>
      <c r="I240" s="11">
        <f>IF(B240="","",N(C240)+N(D240)+N(E240)-H240)</f>
        <v/>
      </c>
    </row>
    <row r="241">
      <c r="A241" s="8" t="n"/>
      <c r="B241" s="6" t="n"/>
      <c r="C241" s="9" t="n"/>
      <c r="D241" s="9" t="n"/>
      <c r="E241" s="9" t="n"/>
      <c r="F241" s="10">
        <f>IF(A241="","",IF(DAY(A241)&lt;=5,DATE(YEAR(A241),MONTH(A241),5),DATE(YEAR(A241),MONTH(A241)+1,5)))</f>
        <v/>
      </c>
      <c r="G241" s="7">
        <f>IF(B241="","",IFERROR(INDEX(Subcontractors!$E$2:$E$101,MATCH(B241,Subcontractors!$A$2:$A$101,0)),0.3))</f>
        <v/>
      </c>
      <c r="H241" s="11">
        <f>IF(B241="","",ROUND(N(C241)*G241,2))</f>
        <v/>
      </c>
      <c r="I241" s="11">
        <f>IF(B241="","",N(C241)+N(D241)+N(E241)-H241)</f>
        <v/>
      </c>
    </row>
    <row r="242">
      <c r="A242" s="8" t="n"/>
      <c r="B242" s="6" t="n"/>
      <c r="C242" s="9" t="n"/>
      <c r="D242" s="9" t="n"/>
      <c r="E242" s="9" t="n"/>
      <c r="F242" s="10">
        <f>IF(A242="","",IF(DAY(A242)&lt;=5,DATE(YEAR(A242),MONTH(A242),5),DATE(YEAR(A242),MONTH(A242)+1,5)))</f>
        <v/>
      </c>
      <c r="G242" s="7">
        <f>IF(B242="","",IFERROR(INDEX(Subcontractors!$E$2:$E$101,MATCH(B242,Subcontractors!$A$2:$A$101,0)),0.3))</f>
        <v/>
      </c>
      <c r="H242" s="11">
        <f>IF(B242="","",ROUND(N(C242)*G242,2))</f>
        <v/>
      </c>
      <c r="I242" s="11">
        <f>IF(B242="","",N(C242)+N(D242)+N(E242)-H242)</f>
        <v/>
      </c>
    </row>
    <row r="243">
      <c r="A243" s="8" t="n"/>
      <c r="B243" s="6" t="n"/>
      <c r="C243" s="9" t="n"/>
      <c r="D243" s="9" t="n"/>
      <c r="E243" s="9" t="n"/>
      <c r="F243" s="10">
        <f>IF(A243="","",IF(DAY(A243)&lt;=5,DATE(YEAR(A243),MONTH(A243),5),DATE(YEAR(A243),MONTH(A243)+1,5)))</f>
        <v/>
      </c>
      <c r="G243" s="7">
        <f>IF(B243="","",IFERROR(INDEX(Subcontractors!$E$2:$E$101,MATCH(B243,Subcontractors!$A$2:$A$101,0)),0.3))</f>
        <v/>
      </c>
      <c r="H243" s="11">
        <f>IF(B243="","",ROUND(N(C243)*G243,2))</f>
        <v/>
      </c>
      <c r="I243" s="11">
        <f>IF(B243="","",N(C243)+N(D243)+N(E243)-H243)</f>
        <v/>
      </c>
    </row>
    <row r="244">
      <c r="A244" s="8" t="n"/>
      <c r="B244" s="6" t="n"/>
      <c r="C244" s="9" t="n"/>
      <c r="D244" s="9" t="n"/>
      <c r="E244" s="9" t="n"/>
      <c r="F244" s="10">
        <f>IF(A244="","",IF(DAY(A244)&lt;=5,DATE(YEAR(A244),MONTH(A244),5),DATE(YEAR(A244),MONTH(A244)+1,5)))</f>
        <v/>
      </c>
      <c r="G244" s="7">
        <f>IF(B244="","",IFERROR(INDEX(Subcontractors!$E$2:$E$101,MATCH(B244,Subcontractors!$A$2:$A$101,0)),0.3))</f>
        <v/>
      </c>
      <c r="H244" s="11">
        <f>IF(B244="","",ROUND(N(C244)*G244,2))</f>
        <v/>
      </c>
      <c r="I244" s="11">
        <f>IF(B244="","",N(C244)+N(D244)+N(E244)-H244)</f>
        <v/>
      </c>
    </row>
    <row r="245">
      <c r="A245" s="8" t="n"/>
      <c r="B245" s="6" t="n"/>
      <c r="C245" s="9" t="n"/>
      <c r="D245" s="9" t="n"/>
      <c r="E245" s="9" t="n"/>
      <c r="F245" s="10">
        <f>IF(A245="","",IF(DAY(A245)&lt;=5,DATE(YEAR(A245),MONTH(A245),5),DATE(YEAR(A245),MONTH(A245)+1,5)))</f>
        <v/>
      </c>
      <c r="G245" s="7">
        <f>IF(B245="","",IFERROR(INDEX(Subcontractors!$E$2:$E$101,MATCH(B245,Subcontractors!$A$2:$A$101,0)),0.3))</f>
        <v/>
      </c>
      <c r="H245" s="11">
        <f>IF(B245="","",ROUND(N(C245)*G245,2))</f>
        <v/>
      </c>
      <c r="I245" s="11">
        <f>IF(B245="","",N(C245)+N(D245)+N(E245)-H245)</f>
        <v/>
      </c>
    </row>
    <row r="246">
      <c r="A246" s="8" t="n"/>
      <c r="B246" s="6" t="n"/>
      <c r="C246" s="9" t="n"/>
      <c r="D246" s="9" t="n"/>
      <c r="E246" s="9" t="n"/>
      <c r="F246" s="10">
        <f>IF(A246="","",IF(DAY(A246)&lt;=5,DATE(YEAR(A246),MONTH(A246),5),DATE(YEAR(A246),MONTH(A246)+1,5)))</f>
        <v/>
      </c>
      <c r="G246" s="7">
        <f>IF(B246="","",IFERROR(INDEX(Subcontractors!$E$2:$E$101,MATCH(B246,Subcontractors!$A$2:$A$101,0)),0.3))</f>
        <v/>
      </c>
      <c r="H246" s="11">
        <f>IF(B246="","",ROUND(N(C246)*G246,2))</f>
        <v/>
      </c>
      <c r="I246" s="11">
        <f>IF(B246="","",N(C246)+N(D246)+N(E246)-H246)</f>
        <v/>
      </c>
    </row>
    <row r="247">
      <c r="A247" s="8" t="n"/>
      <c r="B247" s="6" t="n"/>
      <c r="C247" s="9" t="n"/>
      <c r="D247" s="9" t="n"/>
      <c r="E247" s="9" t="n"/>
      <c r="F247" s="10">
        <f>IF(A247="","",IF(DAY(A247)&lt;=5,DATE(YEAR(A247),MONTH(A247),5),DATE(YEAR(A247),MONTH(A247)+1,5)))</f>
        <v/>
      </c>
      <c r="G247" s="7">
        <f>IF(B247="","",IFERROR(INDEX(Subcontractors!$E$2:$E$101,MATCH(B247,Subcontractors!$A$2:$A$101,0)),0.3))</f>
        <v/>
      </c>
      <c r="H247" s="11">
        <f>IF(B247="","",ROUND(N(C247)*G247,2))</f>
        <v/>
      </c>
      <c r="I247" s="11">
        <f>IF(B247="","",N(C247)+N(D247)+N(E247)-H247)</f>
        <v/>
      </c>
    </row>
    <row r="248">
      <c r="A248" s="8" t="n"/>
      <c r="B248" s="6" t="n"/>
      <c r="C248" s="9" t="n"/>
      <c r="D248" s="9" t="n"/>
      <c r="E248" s="9" t="n"/>
      <c r="F248" s="10">
        <f>IF(A248="","",IF(DAY(A248)&lt;=5,DATE(YEAR(A248),MONTH(A248),5),DATE(YEAR(A248),MONTH(A248)+1,5)))</f>
        <v/>
      </c>
      <c r="G248" s="7">
        <f>IF(B248="","",IFERROR(INDEX(Subcontractors!$E$2:$E$101,MATCH(B248,Subcontractors!$A$2:$A$101,0)),0.3))</f>
        <v/>
      </c>
      <c r="H248" s="11">
        <f>IF(B248="","",ROUND(N(C248)*G248,2))</f>
        <v/>
      </c>
      <c r="I248" s="11">
        <f>IF(B248="","",N(C248)+N(D248)+N(E248)-H248)</f>
        <v/>
      </c>
    </row>
    <row r="249">
      <c r="A249" s="8" t="n"/>
      <c r="B249" s="6" t="n"/>
      <c r="C249" s="9" t="n"/>
      <c r="D249" s="9" t="n"/>
      <c r="E249" s="9" t="n"/>
      <c r="F249" s="10">
        <f>IF(A249="","",IF(DAY(A249)&lt;=5,DATE(YEAR(A249),MONTH(A249),5),DATE(YEAR(A249),MONTH(A249)+1,5)))</f>
        <v/>
      </c>
      <c r="G249" s="7">
        <f>IF(B249="","",IFERROR(INDEX(Subcontractors!$E$2:$E$101,MATCH(B249,Subcontractors!$A$2:$A$101,0)),0.3))</f>
        <v/>
      </c>
      <c r="H249" s="11">
        <f>IF(B249="","",ROUND(N(C249)*G249,2))</f>
        <v/>
      </c>
      <c r="I249" s="11">
        <f>IF(B249="","",N(C249)+N(D249)+N(E249)-H249)</f>
        <v/>
      </c>
    </row>
    <row r="250">
      <c r="A250" s="8" t="n"/>
      <c r="B250" s="6" t="n"/>
      <c r="C250" s="9" t="n"/>
      <c r="D250" s="9" t="n"/>
      <c r="E250" s="9" t="n"/>
      <c r="F250" s="10">
        <f>IF(A250="","",IF(DAY(A250)&lt;=5,DATE(YEAR(A250),MONTH(A250),5),DATE(YEAR(A250),MONTH(A250)+1,5)))</f>
        <v/>
      </c>
      <c r="G250" s="7">
        <f>IF(B250="","",IFERROR(INDEX(Subcontractors!$E$2:$E$101,MATCH(B250,Subcontractors!$A$2:$A$101,0)),0.3))</f>
        <v/>
      </c>
      <c r="H250" s="11">
        <f>IF(B250="","",ROUND(N(C250)*G250,2))</f>
        <v/>
      </c>
      <c r="I250" s="11">
        <f>IF(B250="","",N(C250)+N(D250)+N(E250)-H250)</f>
        <v/>
      </c>
    </row>
    <row r="251">
      <c r="A251" s="8" t="n"/>
      <c r="B251" s="6" t="n"/>
      <c r="C251" s="9" t="n"/>
      <c r="D251" s="9" t="n"/>
      <c r="E251" s="9" t="n"/>
      <c r="F251" s="10">
        <f>IF(A251="","",IF(DAY(A251)&lt;=5,DATE(YEAR(A251),MONTH(A251),5),DATE(YEAR(A251),MONTH(A251)+1,5)))</f>
        <v/>
      </c>
      <c r="G251" s="7">
        <f>IF(B251="","",IFERROR(INDEX(Subcontractors!$E$2:$E$101,MATCH(B251,Subcontractors!$A$2:$A$101,0)),0.3))</f>
        <v/>
      </c>
      <c r="H251" s="11">
        <f>IF(B251="","",ROUND(N(C251)*G251,2))</f>
        <v/>
      </c>
      <c r="I251" s="11">
        <f>IF(B251="","",N(C251)+N(D251)+N(E251)-H251)</f>
        <v/>
      </c>
    </row>
    <row r="252">
      <c r="A252" s="8" t="n"/>
      <c r="B252" s="6" t="n"/>
      <c r="C252" s="9" t="n"/>
      <c r="D252" s="9" t="n"/>
      <c r="E252" s="9" t="n"/>
      <c r="F252" s="10">
        <f>IF(A252="","",IF(DAY(A252)&lt;=5,DATE(YEAR(A252),MONTH(A252),5),DATE(YEAR(A252),MONTH(A252)+1,5)))</f>
        <v/>
      </c>
      <c r="G252" s="7">
        <f>IF(B252="","",IFERROR(INDEX(Subcontractors!$E$2:$E$101,MATCH(B252,Subcontractors!$A$2:$A$101,0)),0.3))</f>
        <v/>
      </c>
      <c r="H252" s="11">
        <f>IF(B252="","",ROUND(N(C252)*G252,2))</f>
        <v/>
      </c>
      <c r="I252" s="11">
        <f>IF(B252="","",N(C252)+N(D252)+N(E252)-H252)</f>
        <v/>
      </c>
    </row>
    <row r="253">
      <c r="A253" s="8" t="n"/>
      <c r="B253" s="6" t="n"/>
      <c r="C253" s="9" t="n"/>
      <c r="D253" s="9" t="n"/>
      <c r="E253" s="9" t="n"/>
      <c r="F253" s="10">
        <f>IF(A253="","",IF(DAY(A253)&lt;=5,DATE(YEAR(A253),MONTH(A253),5),DATE(YEAR(A253),MONTH(A253)+1,5)))</f>
        <v/>
      </c>
      <c r="G253" s="7">
        <f>IF(B253="","",IFERROR(INDEX(Subcontractors!$E$2:$E$101,MATCH(B253,Subcontractors!$A$2:$A$101,0)),0.3))</f>
        <v/>
      </c>
      <c r="H253" s="11">
        <f>IF(B253="","",ROUND(N(C253)*G253,2))</f>
        <v/>
      </c>
      <c r="I253" s="11">
        <f>IF(B253="","",N(C253)+N(D253)+N(E253)-H253)</f>
        <v/>
      </c>
    </row>
    <row r="254">
      <c r="A254" s="8" t="n"/>
      <c r="B254" s="6" t="n"/>
      <c r="C254" s="9" t="n"/>
      <c r="D254" s="9" t="n"/>
      <c r="E254" s="9" t="n"/>
      <c r="F254" s="10">
        <f>IF(A254="","",IF(DAY(A254)&lt;=5,DATE(YEAR(A254),MONTH(A254),5),DATE(YEAR(A254),MONTH(A254)+1,5)))</f>
        <v/>
      </c>
      <c r="G254" s="7">
        <f>IF(B254="","",IFERROR(INDEX(Subcontractors!$E$2:$E$101,MATCH(B254,Subcontractors!$A$2:$A$101,0)),0.3))</f>
        <v/>
      </c>
      <c r="H254" s="11">
        <f>IF(B254="","",ROUND(N(C254)*G254,2))</f>
        <v/>
      </c>
      <c r="I254" s="11">
        <f>IF(B254="","",N(C254)+N(D254)+N(E254)-H254)</f>
        <v/>
      </c>
    </row>
    <row r="255">
      <c r="A255" s="8" t="n"/>
      <c r="B255" s="6" t="n"/>
      <c r="C255" s="9" t="n"/>
      <c r="D255" s="9" t="n"/>
      <c r="E255" s="9" t="n"/>
      <c r="F255" s="10">
        <f>IF(A255="","",IF(DAY(A255)&lt;=5,DATE(YEAR(A255),MONTH(A255),5),DATE(YEAR(A255),MONTH(A255)+1,5)))</f>
        <v/>
      </c>
      <c r="G255" s="7">
        <f>IF(B255="","",IFERROR(INDEX(Subcontractors!$E$2:$E$101,MATCH(B255,Subcontractors!$A$2:$A$101,0)),0.3))</f>
        <v/>
      </c>
      <c r="H255" s="11">
        <f>IF(B255="","",ROUND(N(C255)*G255,2))</f>
        <v/>
      </c>
      <c r="I255" s="11">
        <f>IF(B255="","",N(C255)+N(D255)+N(E255)-H255)</f>
        <v/>
      </c>
    </row>
    <row r="256">
      <c r="A256" s="8" t="n"/>
      <c r="B256" s="6" t="n"/>
      <c r="C256" s="9" t="n"/>
      <c r="D256" s="9" t="n"/>
      <c r="E256" s="9" t="n"/>
      <c r="F256" s="10">
        <f>IF(A256="","",IF(DAY(A256)&lt;=5,DATE(YEAR(A256),MONTH(A256),5),DATE(YEAR(A256),MONTH(A256)+1,5)))</f>
        <v/>
      </c>
      <c r="G256" s="7">
        <f>IF(B256="","",IFERROR(INDEX(Subcontractors!$E$2:$E$101,MATCH(B256,Subcontractors!$A$2:$A$101,0)),0.3))</f>
        <v/>
      </c>
      <c r="H256" s="11">
        <f>IF(B256="","",ROUND(N(C256)*G256,2))</f>
        <v/>
      </c>
      <c r="I256" s="11">
        <f>IF(B256="","",N(C256)+N(D256)+N(E256)-H256)</f>
        <v/>
      </c>
    </row>
    <row r="257">
      <c r="A257" s="8" t="n"/>
      <c r="B257" s="6" t="n"/>
      <c r="C257" s="9" t="n"/>
      <c r="D257" s="9" t="n"/>
      <c r="E257" s="9" t="n"/>
      <c r="F257" s="10">
        <f>IF(A257="","",IF(DAY(A257)&lt;=5,DATE(YEAR(A257),MONTH(A257),5),DATE(YEAR(A257),MONTH(A257)+1,5)))</f>
        <v/>
      </c>
      <c r="G257" s="7">
        <f>IF(B257="","",IFERROR(INDEX(Subcontractors!$E$2:$E$101,MATCH(B257,Subcontractors!$A$2:$A$101,0)),0.3))</f>
        <v/>
      </c>
      <c r="H257" s="11">
        <f>IF(B257="","",ROUND(N(C257)*G257,2))</f>
        <v/>
      </c>
      <c r="I257" s="11">
        <f>IF(B257="","",N(C257)+N(D257)+N(E257)-H257)</f>
        <v/>
      </c>
    </row>
    <row r="258">
      <c r="A258" s="8" t="n"/>
      <c r="B258" s="6" t="n"/>
      <c r="C258" s="9" t="n"/>
      <c r="D258" s="9" t="n"/>
      <c r="E258" s="9" t="n"/>
      <c r="F258" s="10">
        <f>IF(A258="","",IF(DAY(A258)&lt;=5,DATE(YEAR(A258),MONTH(A258),5),DATE(YEAR(A258),MONTH(A258)+1,5)))</f>
        <v/>
      </c>
      <c r="G258" s="7">
        <f>IF(B258="","",IFERROR(INDEX(Subcontractors!$E$2:$E$101,MATCH(B258,Subcontractors!$A$2:$A$101,0)),0.3))</f>
        <v/>
      </c>
      <c r="H258" s="11">
        <f>IF(B258="","",ROUND(N(C258)*G258,2))</f>
        <v/>
      </c>
      <c r="I258" s="11">
        <f>IF(B258="","",N(C258)+N(D258)+N(E258)-H258)</f>
        <v/>
      </c>
    </row>
    <row r="259">
      <c r="A259" s="8" t="n"/>
      <c r="B259" s="6" t="n"/>
      <c r="C259" s="9" t="n"/>
      <c r="D259" s="9" t="n"/>
      <c r="E259" s="9" t="n"/>
      <c r="F259" s="10">
        <f>IF(A259="","",IF(DAY(A259)&lt;=5,DATE(YEAR(A259),MONTH(A259),5),DATE(YEAR(A259),MONTH(A259)+1,5)))</f>
        <v/>
      </c>
      <c r="G259" s="7">
        <f>IF(B259="","",IFERROR(INDEX(Subcontractors!$E$2:$E$101,MATCH(B259,Subcontractors!$A$2:$A$101,0)),0.3))</f>
        <v/>
      </c>
      <c r="H259" s="11">
        <f>IF(B259="","",ROUND(N(C259)*G259,2))</f>
        <v/>
      </c>
      <c r="I259" s="11">
        <f>IF(B259="","",N(C259)+N(D259)+N(E259)-H259)</f>
        <v/>
      </c>
    </row>
    <row r="260">
      <c r="A260" s="8" t="n"/>
      <c r="B260" s="6" t="n"/>
      <c r="C260" s="9" t="n"/>
      <c r="D260" s="9" t="n"/>
      <c r="E260" s="9" t="n"/>
      <c r="F260" s="10">
        <f>IF(A260="","",IF(DAY(A260)&lt;=5,DATE(YEAR(A260),MONTH(A260),5),DATE(YEAR(A260),MONTH(A260)+1,5)))</f>
        <v/>
      </c>
      <c r="G260" s="7">
        <f>IF(B260="","",IFERROR(INDEX(Subcontractors!$E$2:$E$101,MATCH(B260,Subcontractors!$A$2:$A$101,0)),0.3))</f>
        <v/>
      </c>
      <c r="H260" s="11">
        <f>IF(B260="","",ROUND(N(C260)*G260,2))</f>
        <v/>
      </c>
      <c r="I260" s="11">
        <f>IF(B260="","",N(C260)+N(D260)+N(E260)-H260)</f>
        <v/>
      </c>
    </row>
    <row r="261">
      <c r="A261" s="8" t="n"/>
      <c r="B261" s="6" t="n"/>
      <c r="C261" s="9" t="n"/>
      <c r="D261" s="9" t="n"/>
      <c r="E261" s="9" t="n"/>
      <c r="F261" s="10">
        <f>IF(A261="","",IF(DAY(A261)&lt;=5,DATE(YEAR(A261),MONTH(A261),5),DATE(YEAR(A261),MONTH(A261)+1,5)))</f>
        <v/>
      </c>
      <c r="G261" s="7">
        <f>IF(B261="","",IFERROR(INDEX(Subcontractors!$E$2:$E$101,MATCH(B261,Subcontractors!$A$2:$A$101,0)),0.3))</f>
        <v/>
      </c>
      <c r="H261" s="11">
        <f>IF(B261="","",ROUND(N(C261)*G261,2))</f>
        <v/>
      </c>
      <c r="I261" s="11">
        <f>IF(B261="","",N(C261)+N(D261)+N(E261)-H261)</f>
        <v/>
      </c>
    </row>
    <row r="262">
      <c r="A262" s="8" t="n"/>
      <c r="B262" s="6" t="n"/>
      <c r="C262" s="9" t="n"/>
      <c r="D262" s="9" t="n"/>
      <c r="E262" s="9" t="n"/>
      <c r="F262" s="10">
        <f>IF(A262="","",IF(DAY(A262)&lt;=5,DATE(YEAR(A262),MONTH(A262),5),DATE(YEAR(A262),MONTH(A262)+1,5)))</f>
        <v/>
      </c>
      <c r="G262" s="7">
        <f>IF(B262="","",IFERROR(INDEX(Subcontractors!$E$2:$E$101,MATCH(B262,Subcontractors!$A$2:$A$101,0)),0.3))</f>
        <v/>
      </c>
      <c r="H262" s="11">
        <f>IF(B262="","",ROUND(N(C262)*G262,2))</f>
        <v/>
      </c>
      <c r="I262" s="11">
        <f>IF(B262="","",N(C262)+N(D262)+N(E262)-H262)</f>
        <v/>
      </c>
    </row>
    <row r="263">
      <c r="A263" s="8" t="n"/>
      <c r="B263" s="6" t="n"/>
      <c r="C263" s="9" t="n"/>
      <c r="D263" s="9" t="n"/>
      <c r="E263" s="9" t="n"/>
      <c r="F263" s="10">
        <f>IF(A263="","",IF(DAY(A263)&lt;=5,DATE(YEAR(A263),MONTH(A263),5),DATE(YEAR(A263),MONTH(A263)+1,5)))</f>
        <v/>
      </c>
      <c r="G263" s="7">
        <f>IF(B263="","",IFERROR(INDEX(Subcontractors!$E$2:$E$101,MATCH(B263,Subcontractors!$A$2:$A$101,0)),0.3))</f>
        <v/>
      </c>
      <c r="H263" s="11">
        <f>IF(B263="","",ROUND(N(C263)*G263,2))</f>
        <v/>
      </c>
      <c r="I263" s="11">
        <f>IF(B263="","",N(C263)+N(D263)+N(E263)-H263)</f>
        <v/>
      </c>
    </row>
    <row r="264">
      <c r="A264" s="8" t="n"/>
      <c r="B264" s="6" t="n"/>
      <c r="C264" s="9" t="n"/>
      <c r="D264" s="9" t="n"/>
      <c r="E264" s="9" t="n"/>
      <c r="F264" s="10">
        <f>IF(A264="","",IF(DAY(A264)&lt;=5,DATE(YEAR(A264),MONTH(A264),5),DATE(YEAR(A264),MONTH(A264)+1,5)))</f>
        <v/>
      </c>
      <c r="G264" s="7">
        <f>IF(B264="","",IFERROR(INDEX(Subcontractors!$E$2:$E$101,MATCH(B264,Subcontractors!$A$2:$A$101,0)),0.3))</f>
        <v/>
      </c>
      <c r="H264" s="11">
        <f>IF(B264="","",ROUND(N(C264)*G264,2))</f>
        <v/>
      </c>
      <c r="I264" s="11">
        <f>IF(B264="","",N(C264)+N(D264)+N(E264)-H264)</f>
        <v/>
      </c>
    </row>
    <row r="265">
      <c r="A265" s="8" t="n"/>
      <c r="B265" s="6" t="n"/>
      <c r="C265" s="9" t="n"/>
      <c r="D265" s="9" t="n"/>
      <c r="E265" s="9" t="n"/>
      <c r="F265" s="10">
        <f>IF(A265="","",IF(DAY(A265)&lt;=5,DATE(YEAR(A265),MONTH(A265),5),DATE(YEAR(A265),MONTH(A265)+1,5)))</f>
        <v/>
      </c>
      <c r="G265" s="7">
        <f>IF(B265="","",IFERROR(INDEX(Subcontractors!$E$2:$E$101,MATCH(B265,Subcontractors!$A$2:$A$101,0)),0.3))</f>
        <v/>
      </c>
      <c r="H265" s="11">
        <f>IF(B265="","",ROUND(N(C265)*G265,2))</f>
        <v/>
      </c>
      <c r="I265" s="11">
        <f>IF(B265="","",N(C265)+N(D265)+N(E265)-H265)</f>
        <v/>
      </c>
    </row>
    <row r="266">
      <c r="A266" s="8" t="n"/>
      <c r="B266" s="6" t="n"/>
      <c r="C266" s="9" t="n"/>
      <c r="D266" s="9" t="n"/>
      <c r="E266" s="9" t="n"/>
      <c r="F266" s="10">
        <f>IF(A266="","",IF(DAY(A266)&lt;=5,DATE(YEAR(A266),MONTH(A266),5),DATE(YEAR(A266),MONTH(A266)+1,5)))</f>
        <v/>
      </c>
      <c r="G266" s="7">
        <f>IF(B266="","",IFERROR(INDEX(Subcontractors!$E$2:$E$101,MATCH(B266,Subcontractors!$A$2:$A$101,0)),0.3))</f>
        <v/>
      </c>
      <c r="H266" s="11">
        <f>IF(B266="","",ROUND(N(C266)*G266,2))</f>
        <v/>
      </c>
      <c r="I266" s="11">
        <f>IF(B266="","",N(C266)+N(D266)+N(E266)-H266)</f>
        <v/>
      </c>
    </row>
    <row r="267">
      <c r="A267" s="8" t="n"/>
      <c r="B267" s="6" t="n"/>
      <c r="C267" s="9" t="n"/>
      <c r="D267" s="9" t="n"/>
      <c r="E267" s="9" t="n"/>
      <c r="F267" s="10">
        <f>IF(A267="","",IF(DAY(A267)&lt;=5,DATE(YEAR(A267),MONTH(A267),5),DATE(YEAR(A267),MONTH(A267)+1,5)))</f>
        <v/>
      </c>
      <c r="G267" s="7">
        <f>IF(B267="","",IFERROR(INDEX(Subcontractors!$E$2:$E$101,MATCH(B267,Subcontractors!$A$2:$A$101,0)),0.3))</f>
        <v/>
      </c>
      <c r="H267" s="11">
        <f>IF(B267="","",ROUND(N(C267)*G267,2))</f>
        <v/>
      </c>
      <c r="I267" s="11">
        <f>IF(B267="","",N(C267)+N(D267)+N(E267)-H267)</f>
        <v/>
      </c>
    </row>
    <row r="268">
      <c r="A268" s="8" t="n"/>
      <c r="B268" s="6" t="n"/>
      <c r="C268" s="9" t="n"/>
      <c r="D268" s="9" t="n"/>
      <c r="E268" s="9" t="n"/>
      <c r="F268" s="10">
        <f>IF(A268="","",IF(DAY(A268)&lt;=5,DATE(YEAR(A268),MONTH(A268),5),DATE(YEAR(A268),MONTH(A268)+1,5)))</f>
        <v/>
      </c>
      <c r="G268" s="7">
        <f>IF(B268="","",IFERROR(INDEX(Subcontractors!$E$2:$E$101,MATCH(B268,Subcontractors!$A$2:$A$101,0)),0.3))</f>
        <v/>
      </c>
      <c r="H268" s="11">
        <f>IF(B268="","",ROUND(N(C268)*G268,2))</f>
        <v/>
      </c>
      <c r="I268" s="11">
        <f>IF(B268="","",N(C268)+N(D268)+N(E268)-H268)</f>
        <v/>
      </c>
    </row>
    <row r="269">
      <c r="A269" s="8" t="n"/>
      <c r="B269" s="6" t="n"/>
      <c r="C269" s="9" t="n"/>
      <c r="D269" s="9" t="n"/>
      <c r="E269" s="9" t="n"/>
      <c r="F269" s="10">
        <f>IF(A269="","",IF(DAY(A269)&lt;=5,DATE(YEAR(A269),MONTH(A269),5),DATE(YEAR(A269),MONTH(A269)+1,5)))</f>
        <v/>
      </c>
      <c r="G269" s="7">
        <f>IF(B269="","",IFERROR(INDEX(Subcontractors!$E$2:$E$101,MATCH(B269,Subcontractors!$A$2:$A$101,0)),0.3))</f>
        <v/>
      </c>
      <c r="H269" s="11">
        <f>IF(B269="","",ROUND(N(C269)*G269,2))</f>
        <v/>
      </c>
      <c r="I269" s="11">
        <f>IF(B269="","",N(C269)+N(D269)+N(E269)-H269)</f>
        <v/>
      </c>
    </row>
    <row r="270">
      <c r="A270" s="8" t="n"/>
      <c r="B270" s="6" t="n"/>
      <c r="C270" s="9" t="n"/>
      <c r="D270" s="9" t="n"/>
      <c r="E270" s="9" t="n"/>
      <c r="F270" s="10">
        <f>IF(A270="","",IF(DAY(A270)&lt;=5,DATE(YEAR(A270),MONTH(A270),5),DATE(YEAR(A270),MONTH(A270)+1,5)))</f>
        <v/>
      </c>
      <c r="G270" s="7">
        <f>IF(B270="","",IFERROR(INDEX(Subcontractors!$E$2:$E$101,MATCH(B270,Subcontractors!$A$2:$A$101,0)),0.3))</f>
        <v/>
      </c>
      <c r="H270" s="11">
        <f>IF(B270="","",ROUND(N(C270)*G270,2))</f>
        <v/>
      </c>
      <c r="I270" s="11">
        <f>IF(B270="","",N(C270)+N(D270)+N(E270)-H270)</f>
        <v/>
      </c>
    </row>
    <row r="271">
      <c r="A271" s="8" t="n"/>
      <c r="B271" s="6" t="n"/>
      <c r="C271" s="9" t="n"/>
      <c r="D271" s="9" t="n"/>
      <c r="E271" s="9" t="n"/>
      <c r="F271" s="10">
        <f>IF(A271="","",IF(DAY(A271)&lt;=5,DATE(YEAR(A271),MONTH(A271),5),DATE(YEAR(A271),MONTH(A271)+1,5)))</f>
        <v/>
      </c>
      <c r="G271" s="7">
        <f>IF(B271="","",IFERROR(INDEX(Subcontractors!$E$2:$E$101,MATCH(B271,Subcontractors!$A$2:$A$101,0)),0.3))</f>
        <v/>
      </c>
      <c r="H271" s="11">
        <f>IF(B271="","",ROUND(N(C271)*G271,2))</f>
        <v/>
      </c>
      <c r="I271" s="11">
        <f>IF(B271="","",N(C271)+N(D271)+N(E271)-H271)</f>
        <v/>
      </c>
    </row>
    <row r="272">
      <c r="A272" s="8" t="n"/>
      <c r="B272" s="6" t="n"/>
      <c r="C272" s="9" t="n"/>
      <c r="D272" s="9" t="n"/>
      <c r="E272" s="9" t="n"/>
      <c r="F272" s="10">
        <f>IF(A272="","",IF(DAY(A272)&lt;=5,DATE(YEAR(A272),MONTH(A272),5),DATE(YEAR(A272),MONTH(A272)+1,5)))</f>
        <v/>
      </c>
      <c r="G272" s="7">
        <f>IF(B272="","",IFERROR(INDEX(Subcontractors!$E$2:$E$101,MATCH(B272,Subcontractors!$A$2:$A$101,0)),0.3))</f>
        <v/>
      </c>
      <c r="H272" s="11">
        <f>IF(B272="","",ROUND(N(C272)*G272,2))</f>
        <v/>
      </c>
      <c r="I272" s="11">
        <f>IF(B272="","",N(C272)+N(D272)+N(E272)-H272)</f>
        <v/>
      </c>
    </row>
    <row r="273">
      <c r="A273" s="8" t="n"/>
      <c r="B273" s="6" t="n"/>
      <c r="C273" s="9" t="n"/>
      <c r="D273" s="9" t="n"/>
      <c r="E273" s="9" t="n"/>
      <c r="F273" s="10">
        <f>IF(A273="","",IF(DAY(A273)&lt;=5,DATE(YEAR(A273),MONTH(A273),5),DATE(YEAR(A273),MONTH(A273)+1,5)))</f>
        <v/>
      </c>
      <c r="G273" s="7">
        <f>IF(B273="","",IFERROR(INDEX(Subcontractors!$E$2:$E$101,MATCH(B273,Subcontractors!$A$2:$A$101,0)),0.3))</f>
        <v/>
      </c>
      <c r="H273" s="11">
        <f>IF(B273="","",ROUND(N(C273)*G273,2))</f>
        <v/>
      </c>
      <c r="I273" s="11">
        <f>IF(B273="","",N(C273)+N(D273)+N(E273)-H273)</f>
        <v/>
      </c>
    </row>
    <row r="274">
      <c r="A274" s="8" t="n"/>
      <c r="B274" s="6" t="n"/>
      <c r="C274" s="9" t="n"/>
      <c r="D274" s="9" t="n"/>
      <c r="E274" s="9" t="n"/>
      <c r="F274" s="10">
        <f>IF(A274="","",IF(DAY(A274)&lt;=5,DATE(YEAR(A274),MONTH(A274),5),DATE(YEAR(A274),MONTH(A274)+1,5)))</f>
        <v/>
      </c>
      <c r="G274" s="7">
        <f>IF(B274="","",IFERROR(INDEX(Subcontractors!$E$2:$E$101,MATCH(B274,Subcontractors!$A$2:$A$101,0)),0.3))</f>
        <v/>
      </c>
      <c r="H274" s="11">
        <f>IF(B274="","",ROUND(N(C274)*G274,2))</f>
        <v/>
      </c>
      <c r="I274" s="11">
        <f>IF(B274="","",N(C274)+N(D274)+N(E274)-H274)</f>
        <v/>
      </c>
    </row>
    <row r="275">
      <c r="A275" s="8" t="n"/>
      <c r="B275" s="6" t="n"/>
      <c r="C275" s="9" t="n"/>
      <c r="D275" s="9" t="n"/>
      <c r="E275" s="9" t="n"/>
      <c r="F275" s="10">
        <f>IF(A275="","",IF(DAY(A275)&lt;=5,DATE(YEAR(A275),MONTH(A275),5),DATE(YEAR(A275),MONTH(A275)+1,5)))</f>
        <v/>
      </c>
      <c r="G275" s="7">
        <f>IF(B275="","",IFERROR(INDEX(Subcontractors!$E$2:$E$101,MATCH(B275,Subcontractors!$A$2:$A$101,0)),0.3))</f>
        <v/>
      </c>
      <c r="H275" s="11">
        <f>IF(B275="","",ROUND(N(C275)*G275,2))</f>
        <v/>
      </c>
      <c r="I275" s="11">
        <f>IF(B275="","",N(C275)+N(D275)+N(E275)-H275)</f>
        <v/>
      </c>
    </row>
    <row r="276">
      <c r="A276" s="8" t="n"/>
      <c r="B276" s="6" t="n"/>
      <c r="C276" s="9" t="n"/>
      <c r="D276" s="9" t="n"/>
      <c r="E276" s="9" t="n"/>
      <c r="F276" s="10">
        <f>IF(A276="","",IF(DAY(A276)&lt;=5,DATE(YEAR(A276),MONTH(A276),5),DATE(YEAR(A276),MONTH(A276)+1,5)))</f>
        <v/>
      </c>
      <c r="G276" s="7">
        <f>IF(B276="","",IFERROR(INDEX(Subcontractors!$E$2:$E$101,MATCH(B276,Subcontractors!$A$2:$A$101,0)),0.3))</f>
        <v/>
      </c>
      <c r="H276" s="11">
        <f>IF(B276="","",ROUND(N(C276)*G276,2))</f>
        <v/>
      </c>
      <c r="I276" s="11">
        <f>IF(B276="","",N(C276)+N(D276)+N(E276)-H276)</f>
        <v/>
      </c>
    </row>
    <row r="277">
      <c r="A277" s="8" t="n"/>
      <c r="B277" s="6" t="n"/>
      <c r="C277" s="9" t="n"/>
      <c r="D277" s="9" t="n"/>
      <c r="E277" s="9" t="n"/>
      <c r="F277" s="10">
        <f>IF(A277="","",IF(DAY(A277)&lt;=5,DATE(YEAR(A277),MONTH(A277),5),DATE(YEAR(A277),MONTH(A277)+1,5)))</f>
        <v/>
      </c>
      <c r="G277" s="7">
        <f>IF(B277="","",IFERROR(INDEX(Subcontractors!$E$2:$E$101,MATCH(B277,Subcontractors!$A$2:$A$101,0)),0.3))</f>
        <v/>
      </c>
      <c r="H277" s="11">
        <f>IF(B277="","",ROUND(N(C277)*G277,2))</f>
        <v/>
      </c>
      <c r="I277" s="11">
        <f>IF(B277="","",N(C277)+N(D277)+N(E277)-H277)</f>
        <v/>
      </c>
    </row>
    <row r="278">
      <c r="A278" s="8" t="n"/>
      <c r="B278" s="6" t="n"/>
      <c r="C278" s="9" t="n"/>
      <c r="D278" s="9" t="n"/>
      <c r="E278" s="9" t="n"/>
      <c r="F278" s="10">
        <f>IF(A278="","",IF(DAY(A278)&lt;=5,DATE(YEAR(A278),MONTH(A278),5),DATE(YEAR(A278),MONTH(A278)+1,5)))</f>
        <v/>
      </c>
      <c r="G278" s="7">
        <f>IF(B278="","",IFERROR(INDEX(Subcontractors!$E$2:$E$101,MATCH(B278,Subcontractors!$A$2:$A$101,0)),0.3))</f>
        <v/>
      </c>
      <c r="H278" s="11">
        <f>IF(B278="","",ROUND(N(C278)*G278,2))</f>
        <v/>
      </c>
      <c r="I278" s="11">
        <f>IF(B278="","",N(C278)+N(D278)+N(E278)-H278)</f>
        <v/>
      </c>
    </row>
    <row r="279">
      <c r="A279" s="8" t="n"/>
      <c r="B279" s="6" t="n"/>
      <c r="C279" s="9" t="n"/>
      <c r="D279" s="9" t="n"/>
      <c r="E279" s="9" t="n"/>
      <c r="F279" s="10">
        <f>IF(A279="","",IF(DAY(A279)&lt;=5,DATE(YEAR(A279),MONTH(A279),5),DATE(YEAR(A279),MONTH(A279)+1,5)))</f>
        <v/>
      </c>
      <c r="G279" s="7">
        <f>IF(B279="","",IFERROR(INDEX(Subcontractors!$E$2:$E$101,MATCH(B279,Subcontractors!$A$2:$A$101,0)),0.3))</f>
        <v/>
      </c>
      <c r="H279" s="11">
        <f>IF(B279="","",ROUND(N(C279)*G279,2))</f>
        <v/>
      </c>
      <c r="I279" s="11">
        <f>IF(B279="","",N(C279)+N(D279)+N(E279)-H279)</f>
        <v/>
      </c>
    </row>
    <row r="280">
      <c r="A280" s="8" t="n"/>
      <c r="B280" s="6" t="n"/>
      <c r="C280" s="9" t="n"/>
      <c r="D280" s="9" t="n"/>
      <c r="E280" s="9" t="n"/>
      <c r="F280" s="10">
        <f>IF(A280="","",IF(DAY(A280)&lt;=5,DATE(YEAR(A280),MONTH(A280),5),DATE(YEAR(A280),MONTH(A280)+1,5)))</f>
        <v/>
      </c>
      <c r="G280" s="7">
        <f>IF(B280="","",IFERROR(INDEX(Subcontractors!$E$2:$E$101,MATCH(B280,Subcontractors!$A$2:$A$101,0)),0.3))</f>
        <v/>
      </c>
      <c r="H280" s="11">
        <f>IF(B280="","",ROUND(N(C280)*G280,2))</f>
        <v/>
      </c>
      <c r="I280" s="11">
        <f>IF(B280="","",N(C280)+N(D280)+N(E280)-H280)</f>
        <v/>
      </c>
    </row>
    <row r="281">
      <c r="A281" s="8" t="n"/>
      <c r="B281" s="6" t="n"/>
      <c r="C281" s="9" t="n"/>
      <c r="D281" s="9" t="n"/>
      <c r="E281" s="9" t="n"/>
      <c r="F281" s="10">
        <f>IF(A281="","",IF(DAY(A281)&lt;=5,DATE(YEAR(A281),MONTH(A281),5),DATE(YEAR(A281),MONTH(A281)+1,5)))</f>
        <v/>
      </c>
      <c r="G281" s="7">
        <f>IF(B281="","",IFERROR(INDEX(Subcontractors!$E$2:$E$101,MATCH(B281,Subcontractors!$A$2:$A$101,0)),0.3))</f>
        <v/>
      </c>
      <c r="H281" s="11">
        <f>IF(B281="","",ROUND(N(C281)*G281,2))</f>
        <v/>
      </c>
      <c r="I281" s="11">
        <f>IF(B281="","",N(C281)+N(D281)+N(E281)-H281)</f>
        <v/>
      </c>
    </row>
    <row r="282">
      <c r="A282" s="8" t="n"/>
      <c r="B282" s="6" t="n"/>
      <c r="C282" s="9" t="n"/>
      <c r="D282" s="9" t="n"/>
      <c r="E282" s="9" t="n"/>
      <c r="F282" s="10">
        <f>IF(A282="","",IF(DAY(A282)&lt;=5,DATE(YEAR(A282),MONTH(A282),5),DATE(YEAR(A282),MONTH(A282)+1,5)))</f>
        <v/>
      </c>
      <c r="G282" s="7">
        <f>IF(B282="","",IFERROR(INDEX(Subcontractors!$E$2:$E$101,MATCH(B282,Subcontractors!$A$2:$A$101,0)),0.3))</f>
        <v/>
      </c>
      <c r="H282" s="11">
        <f>IF(B282="","",ROUND(N(C282)*G282,2))</f>
        <v/>
      </c>
      <c r="I282" s="11">
        <f>IF(B282="","",N(C282)+N(D282)+N(E282)-H282)</f>
        <v/>
      </c>
    </row>
    <row r="283">
      <c r="A283" s="8" t="n"/>
      <c r="B283" s="6" t="n"/>
      <c r="C283" s="9" t="n"/>
      <c r="D283" s="9" t="n"/>
      <c r="E283" s="9" t="n"/>
      <c r="F283" s="10">
        <f>IF(A283="","",IF(DAY(A283)&lt;=5,DATE(YEAR(A283),MONTH(A283),5),DATE(YEAR(A283),MONTH(A283)+1,5)))</f>
        <v/>
      </c>
      <c r="G283" s="7">
        <f>IF(B283="","",IFERROR(INDEX(Subcontractors!$E$2:$E$101,MATCH(B283,Subcontractors!$A$2:$A$101,0)),0.3))</f>
        <v/>
      </c>
      <c r="H283" s="11">
        <f>IF(B283="","",ROUND(N(C283)*G283,2))</f>
        <v/>
      </c>
      <c r="I283" s="11">
        <f>IF(B283="","",N(C283)+N(D283)+N(E283)-H283)</f>
        <v/>
      </c>
    </row>
    <row r="284">
      <c r="A284" s="8" t="n"/>
      <c r="B284" s="6" t="n"/>
      <c r="C284" s="9" t="n"/>
      <c r="D284" s="9" t="n"/>
      <c r="E284" s="9" t="n"/>
      <c r="F284" s="10">
        <f>IF(A284="","",IF(DAY(A284)&lt;=5,DATE(YEAR(A284),MONTH(A284),5),DATE(YEAR(A284),MONTH(A284)+1,5)))</f>
        <v/>
      </c>
      <c r="G284" s="7">
        <f>IF(B284="","",IFERROR(INDEX(Subcontractors!$E$2:$E$101,MATCH(B284,Subcontractors!$A$2:$A$101,0)),0.3))</f>
        <v/>
      </c>
      <c r="H284" s="11">
        <f>IF(B284="","",ROUND(N(C284)*G284,2))</f>
        <v/>
      </c>
      <c r="I284" s="11">
        <f>IF(B284="","",N(C284)+N(D284)+N(E284)-H284)</f>
        <v/>
      </c>
    </row>
    <row r="285">
      <c r="A285" s="8" t="n"/>
      <c r="B285" s="6" t="n"/>
      <c r="C285" s="9" t="n"/>
      <c r="D285" s="9" t="n"/>
      <c r="E285" s="9" t="n"/>
      <c r="F285" s="10">
        <f>IF(A285="","",IF(DAY(A285)&lt;=5,DATE(YEAR(A285),MONTH(A285),5),DATE(YEAR(A285),MONTH(A285)+1,5)))</f>
        <v/>
      </c>
      <c r="G285" s="7">
        <f>IF(B285="","",IFERROR(INDEX(Subcontractors!$E$2:$E$101,MATCH(B285,Subcontractors!$A$2:$A$101,0)),0.3))</f>
        <v/>
      </c>
      <c r="H285" s="11">
        <f>IF(B285="","",ROUND(N(C285)*G285,2))</f>
        <v/>
      </c>
      <c r="I285" s="11">
        <f>IF(B285="","",N(C285)+N(D285)+N(E285)-H285)</f>
        <v/>
      </c>
    </row>
    <row r="286">
      <c r="A286" s="8" t="n"/>
      <c r="B286" s="6" t="n"/>
      <c r="C286" s="9" t="n"/>
      <c r="D286" s="9" t="n"/>
      <c r="E286" s="9" t="n"/>
      <c r="F286" s="10">
        <f>IF(A286="","",IF(DAY(A286)&lt;=5,DATE(YEAR(A286),MONTH(A286),5),DATE(YEAR(A286),MONTH(A286)+1,5)))</f>
        <v/>
      </c>
      <c r="G286" s="7">
        <f>IF(B286="","",IFERROR(INDEX(Subcontractors!$E$2:$E$101,MATCH(B286,Subcontractors!$A$2:$A$101,0)),0.3))</f>
        <v/>
      </c>
      <c r="H286" s="11">
        <f>IF(B286="","",ROUND(N(C286)*G286,2))</f>
        <v/>
      </c>
      <c r="I286" s="11">
        <f>IF(B286="","",N(C286)+N(D286)+N(E286)-H286)</f>
        <v/>
      </c>
    </row>
    <row r="287">
      <c r="A287" s="8" t="n"/>
      <c r="B287" s="6" t="n"/>
      <c r="C287" s="9" t="n"/>
      <c r="D287" s="9" t="n"/>
      <c r="E287" s="9" t="n"/>
      <c r="F287" s="10">
        <f>IF(A287="","",IF(DAY(A287)&lt;=5,DATE(YEAR(A287),MONTH(A287),5),DATE(YEAR(A287),MONTH(A287)+1,5)))</f>
        <v/>
      </c>
      <c r="G287" s="7">
        <f>IF(B287="","",IFERROR(INDEX(Subcontractors!$E$2:$E$101,MATCH(B287,Subcontractors!$A$2:$A$101,0)),0.3))</f>
        <v/>
      </c>
      <c r="H287" s="11">
        <f>IF(B287="","",ROUND(N(C287)*G287,2))</f>
        <v/>
      </c>
      <c r="I287" s="11">
        <f>IF(B287="","",N(C287)+N(D287)+N(E287)-H287)</f>
        <v/>
      </c>
    </row>
    <row r="288">
      <c r="A288" s="8" t="n"/>
      <c r="B288" s="6" t="n"/>
      <c r="C288" s="9" t="n"/>
      <c r="D288" s="9" t="n"/>
      <c r="E288" s="9" t="n"/>
      <c r="F288" s="10">
        <f>IF(A288="","",IF(DAY(A288)&lt;=5,DATE(YEAR(A288),MONTH(A288),5),DATE(YEAR(A288),MONTH(A288)+1,5)))</f>
        <v/>
      </c>
      <c r="G288" s="7">
        <f>IF(B288="","",IFERROR(INDEX(Subcontractors!$E$2:$E$101,MATCH(B288,Subcontractors!$A$2:$A$101,0)),0.3))</f>
        <v/>
      </c>
      <c r="H288" s="11">
        <f>IF(B288="","",ROUND(N(C288)*G288,2))</f>
        <v/>
      </c>
      <c r="I288" s="11">
        <f>IF(B288="","",N(C288)+N(D288)+N(E288)-H288)</f>
        <v/>
      </c>
    </row>
    <row r="289">
      <c r="A289" s="8" t="n"/>
      <c r="B289" s="6" t="n"/>
      <c r="C289" s="9" t="n"/>
      <c r="D289" s="9" t="n"/>
      <c r="E289" s="9" t="n"/>
      <c r="F289" s="10">
        <f>IF(A289="","",IF(DAY(A289)&lt;=5,DATE(YEAR(A289),MONTH(A289),5),DATE(YEAR(A289),MONTH(A289)+1,5)))</f>
        <v/>
      </c>
      <c r="G289" s="7">
        <f>IF(B289="","",IFERROR(INDEX(Subcontractors!$E$2:$E$101,MATCH(B289,Subcontractors!$A$2:$A$101,0)),0.3))</f>
        <v/>
      </c>
      <c r="H289" s="11">
        <f>IF(B289="","",ROUND(N(C289)*G289,2))</f>
        <v/>
      </c>
      <c r="I289" s="11">
        <f>IF(B289="","",N(C289)+N(D289)+N(E289)-H289)</f>
        <v/>
      </c>
    </row>
    <row r="290">
      <c r="A290" s="8" t="n"/>
      <c r="B290" s="6" t="n"/>
      <c r="C290" s="9" t="n"/>
      <c r="D290" s="9" t="n"/>
      <c r="E290" s="9" t="n"/>
      <c r="F290" s="10">
        <f>IF(A290="","",IF(DAY(A290)&lt;=5,DATE(YEAR(A290),MONTH(A290),5),DATE(YEAR(A290),MONTH(A290)+1,5)))</f>
        <v/>
      </c>
      <c r="G290" s="7">
        <f>IF(B290="","",IFERROR(INDEX(Subcontractors!$E$2:$E$101,MATCH(B290,Subcontractors!$A$2:$A$101,0)),0.3))</f>
        <v/>
      </c>
      <c r="H290" s="11">
        <f>IF(B290="","",ROUND(N(C290)*G290,2))</f>
        <v/>
      </c>
      <c r="I290" s="11">
        <f>IF(B290="","",N(C290)+N(D290)+N(E290)-H290)</f>
        <v/>
      </c>
    </row>
    <row r="291">
      <c r="A291" s="8" t="n"/>
      <c r="B291" s="6" t="n"/>
      <c r="C291" s="9" t="n"/>
      <c r="D291" s="9" t="n"/>
      <c r="E291" s="9" t="n"/>
      <c r="F291" s="10">
        <f>IF(A291="","",IF(DAY(A291)&lt;=5,DATE(YEAR(A291),MONTH(A291),5),DATE(YEAR(A291),MONTH(A291)+1,5)))</f>
        <v/>
      </c>
      <c r="G291" s="7">
        <f>IF(B291="","",IFERROR(INDEX(Subcontractors!$E$2:$E$101,MATCH(B291,Subcontractors!$A$2:$A$101,0)),0.3))</f>
        <v/>
      </c>
      <c r="H291" s="11">
        <f>IF(B291="","",ROUND(N(C291)*G291,2))</f>
        <v/>
      </c>
      <c r="I291" s="11">
        <f>IF(B291="","",N(C291)+N(D291)+N(E291)-H291)</f>
        <v/>
      </c>
    </row>
    <row r="292">
      <c r="A292" s="8" t="n"/>
      <c r="B292" s="6" t="n"/>
      <c r="C292" s="9" t="n"/>
      <c r="D292" s="9" t="n"/>
      <c r="E292" s="9" t="n"/>
      <c r="F292" s="10">
        <f>IF(A292="","",IF(DAY(A292)&lt;=5,DATE(YEAR(A292),MONTH(A292),5),DATE(YEAR(A292),MONTH(A292)+1,5)))</f>
        <v/>
      </c>
      <c r="G292" s="7">
        <f>IF(B292="","",IFERROR(INDEX(Subcontractors!$E$2:$E$101,MATCH(B292,Subcontractors!$A$2:$A$101,0)),0.3))</f>
        <v/>
      </c>
      <c r="H292" s="11">
        <f>IF(B292="","",ROUND(N(C292)*G292,2))</f>
        <v/>
      </c>
      <c r="I292" s="11">
        <f>IF(B292="","",N(C292)+N(D292)+N(E292)-H292)</f>
        <v/>
      </c>
    </row>
    <row r="293">
      <c r="A293" s="8" t="n"/>
      <c r="B293" s="6" t="n"/>
      <c r="C293" s="9" t="n"/>
      <c r="D293" s="9" t="n"/>
      <c r="E293" s="9" t="n"/>
      <c r="F293" s="10">
        <f>IF(A293="","",IF(DAY(A293)&lt;=5,DATE(YEAR(A293),MONTH(A293),5),DATE(YEAR(A293),MONTH(A293)+1,5)))</f>
        <v/>
      </c>
      <c r="G293" s="7">
        <f>IF(B293="","",IFERROR(INDEX(Subcontractors!$E$2:$E$101,MATCH(B293,Subcontractors!$A$2:$A$101,0)),0.3))</f>
        <v/>
      </c>
      <c r="H293" s="11">
        <f>IF(B293="","",ROUND(N(C293)*G293,2))</f>
        <v/>
      </c>
      <c r="I293" s="11">
        <f>IF(B293="","",N(C293)+N(D293)+N(E293)-H293)</f>
        <v/>
      </c>
    </row>
    <row r="294">
      <c r="A294" s="8" t="n"/>
      <c r="B294" s="6" t="n"/>
      <c r="C294" s="9" t="n"/>
      <c r="D294" s="9" t="n"/>
      <c r="E294" s="9" t="n"/>
      <c r="F294" s="10">
        <f>IF(A294="","",IF(DAY(A294)&lt;=5,DATE(YEAR(A294),MONTH(A294),5),DATE(YEAR(A294),MONTH(A294)+1,5)))</f>
        <v/>
      </c>
      <c r="G294" s="7">
        <f>IF(B294="","",IFERROR(INDEX(Subcontractors!$E$2:$E$101,MATCH(B294,Subcontractors!$A$2:$A$101,0)),0.3))</f>
        <v/>
      </c>
      <c r="H294" s="11">
        <f>IF(B294="","",ROUND(N(C294)*G294,2))</f>
        <v/>
      </c>
      <c r="I294" s="11">
        <f>IF(B294="","",N(C294)+N(D294)+N(E294)-H294)</f>
        <v/>
      </c>
    </row>
    <row r="295">
      <c r="A295" s="8" t="n"/>
      <c r="B295" s="6" t="n"/>
      <c r="C295" s="9" t="n"/>
      <c r="D295" s="9" t="n"/>
      <c r="E295" s="9" t="n"/>
      <c r="F295" s="10">
        <f>IF(A295="","",IF(DAY(A295)&lt;=5,DATE(YEAR(A295),MONTH(A295),5),DATE(YEAR(A295),MONTH(A295)+1,5)))</f>
        <v/>
      </c>
      <c r="G295" s="7">
        <f>IF(B295="","",IFERROR(INDEX(Subcontractors!$E$2:$E$101,MATCH(B295,Subcontractors!$A$2:$A$101,0)),0.3))</f>
        <v/>
      </c>
      <c r="H295" s="11">
        <f>IF(B295="","",ROUND(N(C295)*G295,2))</f>
        <v/>
      </c>
      <c r="I295" s="11">
        <f>IF(B295="","",N(C295)+N(D295)+N(E295)-H295)</f>
        <v/>
      </c>
    </row>
    <row r="296">
      <c r="A296" s="8" t="n"/>
      <c r="B296" s="6" t="n"/>
      <c r="C296" s="9" t="n"/>
      <c r="D296" s="9" t="n"/>
      <c r="E296" s="9" t="n"/>
      <c r="F296" s="10">
        <f>IF(A296="","",IF(DAY(A296)&lt;=5,DATE(YEAR(A296),MONTH(A296),5),DATE(YEAR(A296),MONTH(A296)+1,5)))</f>
        <v/>
      </c>
      <c r="G296" s="7">
        <f>IF(B296="","",IFERROR(INDEX(Subcontractors!$E$2:$E$101,MATCH(B296,Subcontractors!$A$2:$A$101,0)),0.3))</f>
        <v/>
      </c>
      <c r="H296" s="11">
        <f>IF(B296="","",ROUND(N(C296)*G296,2))</f>
        <v/>
      </c>
      <c r="I296" s="11">
        <f>IF(B296="","",N(C296)+N(D296)+N(E296)-H296)</f>
        <v/>
      </c>
    </row>
    <row r="297">
      <c r="A297" s="8" t="n"/>
      <c r="B297" s="6" t="n"/>
      <c r="C297" s="9" t="n"/>
      <c r="D297" s="9" t="n"/>
      <c r="E297" s="9" t="n"/>
      <c r="F297" s="10">
        <f>IF(A297="","",IF(DAY(A297)&lt;=5,DATE(YEAR(A297),MONTH(A297),5),DATE(YEAR(A297),MONTH(A297)+1,5)))</f>
        <v/>
      </c>
      <c r="G297" s="7">
        <f>IF(B297="","",IFERROR(INDEX(Subcontractors!$E$2:$E$101,MATCH(B297,Subcontractors!$A$2:$A$101,0)),0.3))</f>
        <v/>
      </c>
      <c r="H297" s="11">
        <f>IF(B297="","",ROUND(N(C297)*G297,2))</f>
        <v/>
      </c>
      <c r="I297" s="11">
        <f>IF(B297="","",N(C297)+N(D297)+N(E297)-H297)</f>
        <v/>
      </c>
    </row>
    <row r="298">
      <c r="A298" s="8" t="n"/>
      <c r="B298" s="6" t="n"/>
      <c r="C298" s="9" t="n"/>
      <c r="D298" s="9" t="n"/>
      <c r="E298" s="9" t="n"/>
      <c r="F298" s="10">
        <f>IF(A298="","",IF(DAY(A298)&lt;=5,DATE(YEAR(A298),MONTH(A298),5),DATE(YEAR(A298),MONTH(A298)+1,5)))</f>
        <v/>
      </c>
      <c r="G298" s="7">
        <f>IF(B298="","",IFERROR(INDEX(Subcontractors!$E$2:$E$101,MATCH(B298,Subcontractors!$A$2:$A$101,0)),0.3))</f>
        <v/>
      </c>
      <c r="H298" s="11">
        <f>IF(B298="","",ROUND(N(C298)*G298,2))</f>
        <v/>
      </c>
      <c r="I298" s="11">
        <f>IF(B298="","",N(C298)+N(D298)+N(E298)-H298)</f>
        <v/>
      </c>
    </row>
    <row r="299">
      <c r="A299" s="8" t="n"/>
      <c r="B299" s="6" t="n"/>
      <c r="C299" s="9" t="n"/>
      <c r="D299" s="9" t="n"/>
      <c r="E299" s="9" t="n"/>
      <c r="F299" s="10">
        <f>IF(A299="","",IF(DAY(A299)&lt;=5,DATE(YEAR(A299),MONTH(A299),5),DATE(YEAR(A299),MONTH(A299)+1,5)))</f>
        <v/>
      </c>
      <c r="G299" s="7">
        <f>IF(B299="","",IFERROR(INDEX(Subcontractors!$E$2:$E$101,MATCH(B299,Subcontractors!$A$2:$A$101,0)),0.3))</f>
        <v/>
      </c>
      <c r="H299" s="11">
        <f>IF(B299="","",ROUND(N(C299)*G299,2))</f>
        <v/>
      </c>
      <c r="I299" s="11">
        <f>IF(B299="","",N(C299)+N(D299)+N(E299)-H299)</f>
        <v/>
      </c>
    </row>
    <row r="300">
      <c r="A300" s="8" t="n"/>
      <c r="B300" s="6" t="n"/>
      <c r="C300" s="9" t="n"/>
      <c r="D300" s="9" t="n"/>
      <c r="E300" s="9" t="n"/>
      <c r="F300" s="10">
        <f>IF(A300="","",IF(DAY(A300)&lt;=5,DATE(YEAR(A300),MONTH(A300),5),DATE(YEAR(A300),MONTH(A300)+1,5)))</f>
        <v/>
      </c>
      <c r="G300" s="7">
        <f>IF(B300="","",IFERROR(INDEX(Subcontractors!$E$2:$E$101,MATCH(B300,Subcontractors!$A$2:$A$101,0)),0.3))</f>
        <v/>
      </c>
      <c r="H300" s="11">
        <f>IF(B300="","",ROUND(N(C300)*G300,2))</f>
        <v/>
      </c>
      <c r="I300" s="11">
        <f>IF(B300="","",N(C300)+N(D300)+N(E300)-H300)</f>
        <v/>
      </c>
    </row>
    <row r="301">
      <c r="A301" s="8" t="n"/>
      <c r="B301" s="6" t="n"/>
      <c r="C301" s="9" t="n"/>
      <c r="D301" s="9" t="n"/>
      <c r="E301" s="9" t="n"/>
      <c r="F301" s="10">
        <f>IF(A301="","",IF(DAY(A301)&lt;=5,DATE(YEAR(A301),MONTH(A301),5),DATE(YEAR(A301),MONTH(A301)+1,5)))</f>
        <v/>
      </c>
      <c r="G301" s="7">
        <f>IF(B301="","",IFERROR(INDEX(Subcontractors!$E$2:$E$101,MATCH(B301,Subcontractors!$A$2:$A$101,0)),0.3))</f>
        <v/>
      </c>
      <c r="H301" s="11">
        <f>IF(B301="","",ROUND(N(C301)*G301,2))</f>
        <v/>
      </c>
      <c r="I301" s="11">
        <f>IF(B301="","",N(C301)+N(D301)+N(E301)-H301)</f>
        <v/>
      </c>
    </row>
    <row r="302">
      <c r="A302" s="8" t="n"/>
      <c r="B302" s="6" t="n"/>
      <c r="C302" s="9" t="n"/>
      <c r="D302" s="9" t="n"/>
      <c r="E302" s="9" t="n"/>
      <c r="F302" s="10">
        <f>IF(A302="","",IF(DAY(A302)&lt;=5,DATE(YEAR(A302),MONTH(A302),5),DATE(YEAR(A302),MONTH(A302)+1,5)))</f>
        <v/>
      </c>
      <c r="G302" s="7">
        <f>IF(B302="","",IFERROR(INDEX(Subcontractors!$E$2:$E$101,MATCH(B302,Subcontractors!$A$2:$A$101,0)),0.3))</f>
        <v/>
      </c>
      <c r="H302" s="11">
        <f>IF(B302="","",ROUND(N(C302)*G302,2))</f>
        <v/>
      </c>
      <c r="I302" s="11">
        <f>IF(B302="","",N(C302)+N(D302)+N(E302)-H302)</f>
        <v/>
      </c>
    </row>
    <row r="303">
      <c r="A303" s="8" t="n"/>
      <c r="B303" s="6" t="n"/>
      <c r="C303" s="9" t="n"/>
      <c r="D303" s="9" t="n"/>
      <c r="E303" s="9" t="n"/>
      <c r="F303" s="10">
        <f>IF(A303="","",IF(DAY(A303)&lt;=5,DATE(YEAR(A303),MONTH(A303),5),DATE(YEAR(A303),MONTH(A303)+1,5)))</f>
        <v/>
      </c>
      <c r="G303" s="7">
        <f>IF(B303="","",IFERROR(INDEX(Subcontractors!$E$2:$E$101,MATCH(B303,Subcontractors!$A$2:$A$101,0)),0.3))</f>
        <v/>
      </c>
      <c r="H303" s="11">
        <f>IF(B303="","",ROUND(N(C303)*G303,2))</f>
        <v/>
      </c>
      <c r="I303" s="11">
        <f>IF(B303="","",N(C303)+N(D303)+N(E303)-H303)</f>
        <v/>
      </c>
    </row>
    <row r="304">
      <c r="A304" s="8" t="n"/>
      <c r="B304" s="6" t="n"/>
      <c r="C304" s="9" t="n"/>
      <c r="D304" s="9" t="n"/>
      <c r="E304" s="9" t="n"/>
      <c r="F304" s="10">
        <f>IF(A304="","",IF(DAY(A304)&lt;=5,DATE(YEAR(A304),MONTH(A304),5),DATE(YEAR(A304),MONTH(A304)+1,5)))</f>
        <v/>
      </c>
      <c r="G304" s="7">
        <f>IF(B304="","",IFERROR(INDEX(Subcontractors!$E$2:$E$101,MATCH(B304,Subcontractors!$A$2:$A$101,0)),0.3))</f>
        <v/>
      </c>
      <c r="H304" s="11">
        <f>IF(B304="","",ROUND(N(C304)*G304,2))</f>
        <v/>
      </c>
      <c r="I304" s="11">
        <f>IF(B304="","",N(C304)+N(D304)+N(E304)-H304)</f>
        <v/>
      </c>
    </row>
    <row r="305">
      <c r="A305" s="8" t="n"/>
      <c r="B305" s="6" t="n"/>
      <c r="C305" s="9" t="n"/>
      <c r="D305" s="9" t="n"/>
      <c r="E305" s="9" t="n"/>
      <c r="F305" s="10">
        <f>IF(A305="","",IF(DAY(A305)&lt;=5,DATE(YEAR(A305),MONTH(A305),5),DATE(YEAR(A305),MONTH(A305)+1,5)))</f>
        <v/>
      </c>
      <c r="G305" s="7">
        <f>IF(B305="","",IFERROR(INDEX(Subcontractors!$E$2:$E$101,MATCH(B305,Subcontractors!$A$2:$A$101,0)),0.3))</f>
        <v/>
      </c>
      <c r="H305" s="11">
        <f>IF(B305="","",ROUND(N(C305)*G305,2))</f>
        <v/>
      </c>
      <c r="I305" s="11">
        <f>IF(B305="","",N(C305)+N(D305)+N(E305)-H305)</f>
        <v/>
      </c>
    </row>
    <row r="306">
      <c r="A306" s="8" t="n"/>
      <c r="B306" s="6" t="n"/>
      <c r="C306" s="9" t="n"/>
      <c r="D306" s="9" t="n"/>
      <c r="E306" s="9" t="n"/>
      <c r="F306" s="10">
        <f>IF(A306="","",IF(DAY(A306)&lt;=5,DATE(YEAR(A306),MONTH(A306),5),DATE(YEAR(A306),MONTH(A306)+1,5)))</f>
        <v/>
      </c>
      <c r="G306" s="7">
        <f>IF(B306="","",IFERROR(INDEX(Subcontractors!$E$2:$E$101,MATCH(B306,Subcontractors!$A$2:$A$101,0)),0.3))</f>
        <v/>
      </c>
      <c r="H306" s="11">
        <f>IF(B306="","",ROUND(N(C306)*G306,2))</f>
        <v/>
      </c>
      <c r="I306" s="11">
        <f>IF(B306="","",N(C306)+N(D306)+N(E306)-H306)</f>
        <v/>
      </c>
    </row>
    <row r="307">
      <c r="A307" s="8" t="n"/>
      <c r="B307" s="6" t="n"/>
      <c r="C307" s="9" t="n"/>
      <c r="D307" s="9" t="n"/>
      <c r="E307" s="9" t="n"/>
      <c r="F307" s="10">
        <f>IF(A307="","",IF(DAY(A307)&lt;=5,DATE(YEAR(A307),MONTH(A307),5),DATE(YEAR(A307),MONTH(A307)+1,5)))</f>
        <v/>
      </c>
      <c r="G307" s="7">
        <f>IF(B307="","",IFERROR(INDEX(Subcontractors!$E$2:$E$101,MATCH(B307,Subcontractors!$A$2:$A$101,0)),0.3))</f>
        <v/>
      </c>
      <c r="H307" s="11">
        <f>IF(B307="","",ROUND(N(C307)*G307,2))</f>
        <v/>
      </c>
      <c r="I307" s="11">
        <f>IF(B307="","",N(C307)+N(D307)+N(E307)-H307)</f>
        <v/>
      </c>
    </row>
    <row r="308">
      <c r="A308" s="8" t="n"/>
      <c r="B308" s="6" t="n"/>
      <c r="C308" s="9" t="n"/>
      <c r="D308" s="9" t="n"/>
      <c r="E308" s="9" t="n"/>
      <c r="F308" s="10">
        <f>IF(A308="","",IF(DAY(A308)&lt;=5,DATE(YEAR(A308),MONTH(A308),5),DATE(YEAR(A308),MONTH(A308)+1,5)))</f>
        <v/>
      </c>
      <c r="G308" s="7">
        <f>IF(B308="","",IFERROR(INDEX(Subcontractors!$E$2:$E$101,MATCH(B308,Subcontractors!$A$2:$A$101,0)),0.3))</f>
        <v/>
      </c>
      <c r="H308" s="11">
        <f>IF(B308="","",ROUND(N(C308)*G308,2))</f>
        <v/>
      </c>
      <c r="I308" s="11">
        <f>IF(B308="","",N(C308)+N(D308)+N(E308)-H308)</f>
        <v/>
      </c>
    </row>
    <row r="309">
      <c r="A309" s="8" t="n"/>
      <c r="B309" s="6" t="n"/>
      <c r="C309" s="9" t="n"/>
      <c r="D309" s="9" t="n"/>
      <c r="E309" s="9" t="n"/>
      <c r="F309" s="10">
        <f>IF(A309="","",IF(DAY(A309)&lt;=5,DATE(YEAR(A309),MONTH(A309),5),DATE(YEAR(A309),MONTH(A309)+1,5)))</f>
        <v/>
      </c>
      <c r="G309" s="7">
        <f>IF(B309="","",IFERROR(INDEX(Subcontractors!$E$2:$E$101,MATCH(B309,Subcontractors!$A$2:$A$101,0)),0.3))</f>
        <v/>
      </c>
      <c r="H309" s="11">
        <f>IF(B309="","",ROUND(N(C309)*G309,2))</f>
        <v/>
      </c>
      <c r="I309" s="11">
        <f>IF(B309="","",N(C309)+N(D309)+N(E309)-H309)</f>
        <v/>
      </c>
    </row>
    <row r="310">
      <c r="A310" s="8" t="n"/>
      <c r="B310" s="6" t="n"/>
      <c r="C310" s="9" t="n"/>
      <c r="D310" s="9" t="n"/>
      <c r="E310" s="9" t="n"/>
      <c r="F310" s="10">
        <f>IF(A310="","",IF(DAY(A310)&lt;=5,DATE(YEAR(A310),MONTH(A310),5),DATE(YEAR(A310),MONTH(A310)+1,5)))</f>
        <v/>
      </c>
      <c r="G310" s="7">
        <f>IF(B310="","",IFERROR(INDEX(Subcontractors!$E$2:$E$101,MATCH(B310,Subcontractors!$A$2:$A$101,0)),0.3))</f>
        <v/>
      </c>
      <c r="H310" s="11">
        <f>IF(B310="","",ROUND(N(C310)*G310,2))</f>
        <v/>
      </c>
      <c r="I310" s="11">
        <f>IF(B310="","",N(C310)+N(D310)+N(E310)-H310)</f>
        <v/>
      </c>
    </row>
    <row r="311">
      <c r="A311" s="8" t="n"/>
      <c r="B311" s="6" t="n"/>
      <c r="C311" s="9" t="n"/>
      <c r="D311" s="9" t="n"/>
      <c r="E311" s="9" t="n"/>
      <c r="F311" s="10">
        <f>IF(A311="","",IF(DAY(A311)&lt;=5,DATE(YEAR(A311),MONTH(A311),5),DATE(YEAR(A311),MONTH(A311)+1,5)))</f>
        <v/>
      </c>
      <c r="G311" s="7">
        <f>IF(B311="","",IFERROR(INDEX(Subcontractors!$E$2:$E$101,MATCH(B311,Subcontractors!$A$2:$A$101,0)),0.3))</f>
        <v/>
      </c>
      <c r="H311" s="11">
        <f>IF(B311="","",ROUND(N(C311)*G311,2))</f>
        <v/>
      </c>
      <c r="I311" s="11">
        <f>IF(B311="","",N(C311)+N(D311)+N(E311)-H311)</f>
        <v/>
      </c>
    </row>
    <row r="312">
      <c r="A312" s="8" t="n"/>
      <c r="B312" s="6" t="n"/>
      <c r="C312" s="9" t="n"/>
      <c r="D312" s="9" t="n"/>
      <c r="E312" s="9" t="n"/>
      <c r="F312" s="10">
        <f>IF(A312="","",IF(DAY(A312)&lt;=5,DATE(YEAR(A312),MONTH(A312),5),DATE(YEAR(A312),MONTH(A312)+1,5)))</f>
        <v/>
      </c>
      <c r="G312" s="7">
        <f>IF(B312="","",IFERROR(INDEX(Subcontractors!$E$2:$E$101,MATCH(B312,Subcontractors!$A$2:$A$101,0)),0.3))</f>
        <v/>
      </c>
      <c r="H312" s="11">
        <f>IF(B312="","",ROUND(N(C312)*G312,2))</f>
        <v/>
      </c>
      <c r="I312" s="11">
        <f>IF(B312="","",N(C312)+N(D312)+N(E312)-H312)</f>
        <v/>
      </c>
    </row>
    <row r="313">
      <c r="A313" s="8" t="n"/>
      <c r="B313" s="6" t="n"/>
      <c r="C313" s="9" t="n"/>
      <c r="D313" s="9" t="n"/>
      <c r="E313" s="9" t="n"/>
      <c r="F313" s="10">
        <f>IF(A313="","",IF(DAY(A313)&lt;=5,DATE(YEAR(A313),MONTH(A313),5),DATE(YEAR(A313),MONTH(A313)+1,5)))</f>
        <v/>
      </c>
      <c r="G313" s="7">
        <f>IF(B313="","",IFERROR(INDEX(Subcontractors!$E$2:$E$101,MATCH(B313,Subcontractors!$A$2:$A$101,0)),0.3))</f>
        <v/>
      </c>
      <c r="H313" s="11">
        <f>IF(B313="","",ROUND(N(C313)*G313,2))</f>
        <v/>
      </c>
      <c r="I313" s="11">
        <f>IF(B313="","",N(C313)+N(D313)+N(E313)-H313)</f>
        <v/>
      </c>
    </row>
    <row r="314">
      <c r="A314" s="8" t="n"/>
      <c r="B314" s="6" t="n"/>
      <c r="C314" s="9" t="n"/>
      <c r="D314" s="9" t="n"/>
      <c r="E314" s="9" t="n"/>
      <c r="F314" s="10">
        <f>IF(A314="","",IF(DAY(A314)&lt;=5,DATE(YEAR(A314),MONTH(A314),5),DATE(YEAR(A314),MONTH(A314)+1,5)))</f>
        <v/>
      </c>
      <c r="G314" s="7">
        <f>IF(B314="","",IFERROR(INDEX(Subcontractors!$E$2:$E$101,MATCH(B314,Subcontractors!$A$2:$A$101,0)),0.3))</f>
        <v/>
      </c>
      <c r="H314" s="11">
        <f>IF(B314="","",ROUND(N(C314)*G314,2))</f>
        <v/>
      </c>
      <c r="I314" s="11">
        <f>IF(B314="","",N(C314)+N(D314)+N(E314)-H314)</f>
        <v/>
      </c>
    </row>
    <row r="315">
      <c r="A315" s="8" t="n"/>
      <c r="B315" s="6" t="n"/>
      <c r="C315" s="9" t="n"/>
      <c r="D315" s="9" t="n"/>
      <c r="E315" s="9" t="n"/>
      <c r="F315" s="10">
        <f>IF(A315="","",IF(DAY(A315)&lt;=5,DATE(YEAR(A315),MONTH(A315),5),DATE(YEAR(A315),MONTH(A315)+1,5)))</f>
        <v/>
      </c>
      <c r="G315" s="7">
        <f>IF(B315="","",IFERROR(INDEX(Subcontractors!$E$2:$E$101,MATCH(B315,Subcontractors!$A$2:$A$101,0)),0.3))</f>
        <v/>
      </c>
      <c r="H315" s="11">
        <f>IF(B315="","",ROUND(N(C315)*G315,2))</f>
        <v/>
      </c>
      <c r="I315" s="11">
        <f>IF(B315="","",N(C315)+N(D315)+N(E315)-H315)</f>
        <v/>
      </c>
    </row>
    <row r="316">
      <c r="A316" s="8" t="n"/>
      <c r="B316" s="6" t="n"/>
      <c r="C316" s="9" t="n"/>
      <c r="D316" s="9" t="n"/>
      <c r="E316" s="9" t="n"/>
      <c r="F316" s="10">
        <f>IF(A316="","",IF(DAY(A316)&lt;=5,DATE(YEAR(A316),MONTH(A316),5),DATE(YEAR(A316),MONTH(A316)+1,5)))</f>
        <v/>
      </c>
      <c r="G316" s="7">
        <f>IF(B316="","",IFERROR(INDEX(Subcontractors!$E$2:$E$101,MATCH(B316,Subcontractors!$A$2:$A$101,0)),0.3))</f>
        <v/>
      </c>
      <c r="H316" s="11">
        <f>IF(B316="","",ROUND(N(C316)*G316,2))</f>
        <v/>
      </c>
      <c r="I316" s="11">
        <f>IF(B316="","",N(C316)+N(D316)+N(E316)-H316)</f>
        <v/>
      </c>
    </row>
    <row r="317">
      <c r="A317" s="8" t="n"/>
      <c r="B317" s="6" t="n"/>
      <c r="C317" s="9" t="n"/>
      <c r="D317" s="9" t="n"/>
      <c r="E317" s="9" t="n"/>
      <c r="F317" s="10">
        <f>IF(A317="","",IF(DAY(A317)&lt;=5,DATE(YEAR(A317),MONTH(A317),5),DATE(YEAR(A317),MONTH(A317)+1,5)))</f>
        <v/>
      </c>
      <c r="G317" s="7">
        <f>IF(B317="","",IFERROR(INDEX(Subcontractors!$E$2:$E$101,MATCH(B317,Subcontractors!$A$2:$A$101,0)),0.3))</f>
        <v/>
      </c>
      <c r="H317" s="11">
        <f>IF(B317="","",ROUND(N(C317)*G317,2))</f>
        <v/>
      </c>
      <c r="I317" s="11">
        <f>IF(B317="","",N(C317)+N(D317)+N(E317)-H317)</f>
        <v/>
      </c>
    </row>
    <row r="318">
      <c r="A318" s="8" t="n"/>
      <c r="B318" s="6" t="n"/>
      <c r="C318" s="9" t="n"/>
      <c r="D318" s="9" t="n"/>
      <c r="E318" s="9" t="n"/>
      <c r="F318" s="10">
        <f>IF(A318="","",IF(DAY(A318)&lt;=5,DATE(YEAR(A318),MONTH(A318),5),DATE(YEAR(A318),MONTH(A318)+1,5)))</f>
        <v/>
      </c>
      <c r="G318" s="7">
        <f>IF(B318="","",IFERROR(INDEX(Subcontractors!$E$2:$E$101,MATCH(B318,Subcontractors!$A$2:$A$101,0)),0.3))</f>
        <v/>
      </c>
      <c r="H318" s="11">
        <f>IF(B318="","",ROUND(N(C318)*G318,2))</f>
        <v/>
      </c>
      <c r="I318" s="11">
        <f>IF(B318="","",N(C318)+N(D318)+N(E318)-H318)</f>
        <v/>
      </c>
    </row>
    <row r="319">
      <c r="A319" s="8" t="n"/>
      <c r="B319" s="6" t="n"/>
      <c r="C319" s="9" t="n"/>
      <c r="D319" s="9" t="n"/>
      <c r="E319" s="9" t="n"/>
      <c r="F319" s="10">
        <f>IF(A319="","",IF(DAY(A319)&lt;=5,DATE(YEAR(A319),MONTH(A319),5),DATE(YEAR(A319),MONTH(A319)+1,5)))</f>
        <v/>
      </c>
      <c r="G319" s="7">
        <f>IF(B319="","",IFERROR(INDEX(Subcontractors!$E$2:$E$101,MATCH(B319,Subcontractors!$A$2:$A$101,0)),0.3))</f>
        <v/>
      </c>
      <c r="H319" s="11">
        <f>IF(B319="","",ROUND(N(C319)*G319,2))</f>
        <v/>
      </c>
      <c r="I319" s="11">
        <f>IF(B319="","",N(C319)+N(D319)+N(E319)-H319)</f>
        <v/>
      </c>
    </row>
    <row r="320">
      <c r="A320" s="8" t="n"/>
      <c r="B320" s="6" t="n"/>
      <c r="C320" s="9" t="n"/>
      <c r="D320" s="9" t="n"/>
      <c r="E320" s="9" t="n"/>
      <c r="F320" s="10">
        <f>IF(A320="","",IF(DAY(A320)&lt;=5,DATE(YEAR(A320),MONTH(A320),5),DATE(YEAR(A320),MONTH(A320)+1,5)))</f>
        <v/>
      </c>
      <c r="G320" s="7">
        <f>IF(B320="","",IFERROR(INDEX(Subcontractors!$E$2:$E$101,MATCH(B320,Subcontractors!$A$2:$A$101,0)),0.3))</f>
        <v/>
      </c>
      <c r="H320" s="11">
        <f>IF(B320="","",ROUND(N(C320)*G320,2))</f>
        <v/>
      </c>
      <c r="I320" s="11">
        <f>IF(B320="","",N(C320)+N(D320)+N(E320)-H320)</f>
        <v/>
      </c>
    </row>
    <row r="321">
      <c r="A321" s="8" t="n"/>
      <c r="B321" s="6" t="n"/>
      <c r="C321" s="9" t="n"/>
      <c r="D321" s="9" t="n"/>
      <c r="E321" s="9" t="n"/>
      <c r="F321" s="10">
        <f>IF(A321="","",IF(DAY(A321)&lt;=5,DATE(YEAR(A321),MONTH(A321),5),DATE(YEAR(A321),MONTH(A321)+1,5)))</f>
        <v/>
      </c>
      <c r="G321" s="7">
        <f>IF(B321="","",IFERROR(INDEX(Subcontractors!$E$2:$E$101,MATCH(B321,Subcontractors!$A$2:$A$101,0)),0.3))</f>
        <v/>
      </c>
      <c r="H321" s="11">
        <f>IF(B321="","",ROUND(N(C321)*G321,2))</f>
        <v/>
      </c>
      <c r="I321" s="11">
        <f>IF(B321="","",N(C321)+N(D321)+N(E321)-H321)</f>
        <v/>
      </c>
    </row>
    <row r="322">
      <c r="A322" s="8" t="n"/>
      <c r="B322" s="6" t="n"/>
      <c r="C322" s="9" t="n"/>
      <c r="D322" s="9" t="n"/>
      <c r="E322" s="9" t="n"/>
      <c r="F322" s="10">
        <f>IF(A322="","",IF(DAY(A322)&lt;=5,DATE(YEAR(A322),MONTH(A322),5),DATE(YEAR(A322),MONTH(A322)+1,5)))</f>
        <v/>
      </c>
      <c r="G322" s="7">
        <f>IF(B322="","",IFERROR(INDEX(Subcontractors!$E$2:$E$101,MATCH(B322,Subcontractors!$A$2:$A$101,0)),0.3))</f>
        <v/>
      </c>
      <c r="H322" s="11">
        <f>IF(B322="","",ROUND(N(C322)*G322,2))</f>
        <v/>
      </c>
      <c r="I322" s="11">
        <f>IF(B322="","",N(C322)+N(D322)+N(E322)-H322)</f>
        <v/>
      </c>
    </row>
    <row r="323">
      <c r="A323" s="8" t="n"/>
      <c r="B323" s="6" t="n"/>
      <c r="C323" s="9" t="n"/>
      <c r="D323" s="9" t="n"/>
      <c r="E323" s="9" t="n"/>
      <c r="F323" s="10">
        <f>IF(A323="","",IF(DAY(A323)&lt;=5,DATE(YEAR(A323),MONTH(A323),5),DATE(YEAR(A323),MONTH(A323)+1,5)))</f>
        <v/>
      </c>
      <c r="G323" s="7">
        <f>IF(B323="","",IFERROR(INDEX(Subcontractors!$E$2:$E$101,MATCH(B323,Subcontractors!$A$2:$A$101,0)),0.3))</f>
        <v/>
      </c>
      <c r="H323" s="11">
        <f>IF(B323="","",ROUND(N(C323)*G323,2))</f>
        <v/>
      </c>
      <c r="I323" s="11">
        <f>IF(B323="","",N(C323)+N(D323)+N(E323)-H323)</f>
        <v/>
      </c>
    </row>
    <row r="324">
      <c r="A324" s="8" t="n"/>
      <c r="B324" s="6" t="n"/>
      <c r="C324" s="9" t="n"/>
      <c r="D324" s="9" t="n"/>
      <c r="E324" s="9" t="n"/>
      <c r="F324" s="10">
        <f>IF(A324="","",IF(DAY(A324)&lt;=5,DATE(YEAR(A324),MONTH(A324),5),DATE(YEAR(A324),MONTH(A324)+1,5)))</f>
        <v/>
      </c>
      <c r="G324" s="7">
        <f>IF(B324="","",IFERROR(INDEX(Subcontractors!$E$2:$E$101,MATCH(B324,Subcontractors!$A$2:$A$101,0)),0.3))</f>
        <v/>
      </c>
      <c r="H324" s="11">
        <f>IF(B324="","",ROUND(N(C324)*G324,2))</f>
        <v/>
      </c>
      <c r="I324" s="11">
        <f>IF(B324="","",N(C324)+N(D324)+N(E324)-H324)</f>
        <v/>
      </c>
    </row>
    <row r="325">
      <c r="A325" s="8" t="n"/>
      <c r="B325" s="6" t="n"/>
      <c r="C325" s="9" t="n"/>
      <c r="D325" s="9" t="n"/>
      <c r="E325" s="9" t="n"/>
      <c r="F325" s="10">
        <f>IF(A325="","",IF(DAY(A325)&lt;=5,DATE(YEAR(A325),MONTH(A325),5),DATE(YEAR(A325),MONTH(A325)+1,5)))</f>
        <v/>
      </c>
      <c r="G325" s="7">
        <f>IF(B325="","",IFERROR(INDEX(Subcontractors!$E$2:$E$101,MATCH(B325,Subcontractors!$A$2:$A$101,0)),0.3))</f>
        <v/>
      </c>
      <c r="H325" s="11">
        <f>IF(B325="","",ROUND(N(C325)*G325,2))</f>
        <v/>
      </c>
      <c r="I325" s="11">
        <f>IF(B325="","",N(C325)+N(D325)+N(E325)-H325)</f>
        <v/>
      </c>
    </row>
    <row r="326">
      <c r="A326" s="8" t="n"/>
      <c r="B326" s="6" t="n"/>
      <c r="C326" s="9" t="n"/>
      <c r="D326" s="9" t="n"/>
      <c r="E326" s="9" t="n"/>
      <c r="F326" s="10">
        <f>IF(A326="","",IF(DAY(A326)&lt;=5,DATE(YEAR(A326),MONTH(A326),5),DATE(YEAR(A326),MONTH(A326)+1,5)))</f>
        <v/>
      </c>
      <c r="G326" s="7">
        <f>IF(B326="","",IFERROR(INDEX(Subcontractors!$E$2:$E$101,MATCH(B326,Subcontractors!$A$2:$A$101,0)),0.3))</f>
        <v/>
      </c>
      <c r="H326" s="11">
        <f>IF(B326="","",ROUND(N(C326)*G326,2))</f>
        <v/>
      </c>
      <c r="I326" s="11">
        <f>IF(B326="","",N(C326)+N(D326)+N(E326)-H326)</f>
        <v/>
      </c>
    </row>
    <row r="327">
      <c r="A327" s="8" t="n"/>
      <c r="B327" s="6" t="n"/>
      <c r="C327" s="9" t="n"/>
      <c r="D327" s="9" t="n"/>
      <c r="E327" s="9" t="n"/>
      <c r="F327" s="10">
        <f>IF(A327="","",IF(DAY(A327)&lt;=5,DATE(YEAR(A327),MONTH(A327),5),DATE(YEAR(A327),MONTH(A327)+1,5)))</f>
        <v/>
      </c>
      <c r="G327" s="7">
        <f>IF(B327="","",IFERROR(INDEX(Subcontractors!$E$2:$E$101,MATCH(B327,Subcontractors!$A$2:$A$101,0)),0.3))</f>
        <v/>
      </c>
      <c r="H327" s="11">
        <f>IF(B327="","",ROUND(N(C327)*G327,2))</f>
        <v/>
      </c>
      <c r="I327" s="11">
        <f>IF(B327="","",N(C327)+N(D327)+N(E327)-H327)</f>
        <v/>
      </c>
    </row>
    <row r="328">
      <c r="A328" s="8" t="n"/>
      <c r="B328" s="6" t="n"/>
      <c r="C328" s="9" t="n"/>
      <c r="D328" s="9" t="n"/>
      <c r="E328" s="9" t="n"/>
      <c r="F328" s="10">
        <f>IF(A328="","",IF(DAY(A328)&lt;=5,DATE(YEAR(A328),MONTH(A328),5),DATE(YEAR(A328),MONTH(A328)+1,5)))</f>
        <v/>
      </c>
      <c r="G328" s="7">
        <f>IF(B328="","",IFERROR(INDEX(Subcontractors!$E$2:$E$101,MATCH(B328,Subcontractors!$A$2:$A$101,0)),0.3))</f>
        <v/>
      </c>
      <c r="H328" s="11">
        <f>IF(B328="","",ROUND(N(C328)*G328,2))</f>
        <v/>
      </c>
      <c r="I328" s="11">
        <f>IF(B328="","",N(C328)+N(D328)+N(E328)-H328)</f>
        <v/>
      </c>
    </row>
    <row r="329">
      <c r="A329" s="8" t="n"/>
      <c r="B329" s="6" t="n"/>
      <c r="C329" s="9" t="n"/>
      <c r="D329" s="9" t="n"/>
      <c r="E329" s="9" t="n"/>
      <c r="F329" s="10">
        <f>IF(A329="","",IF(DAY(A329)&lt;=5,DATE(YEAR(A329),MONTH(A329),5),DATE(YEAR(A329),MONTH(A329)+1,5)))</f>
        <v/>
      </c>
      <c r="G329" s="7">
        <f>IF(B329="","",IFERROR(INDEX(Subcontractors!$E$2:$E$101,MATCH(B329,Subcontractors!$A$2:$A$101,0)),0.3))</f>
        <v/>
      </c>
      <c r="H329" s="11">
        <f>IF(B329="","",ROUND(N(C329)*G329,2))</f>
        <v/>
      </c>
      <c r="I329" s="11">
        <f>IF(B329="","",N(C329)+N(D329)+N(E329)-H329)</f>
        <v/>
      </c>
    </row>
    <row r="330">
      <c r="A330" s="8" t="n"/>
      <c r="B330" s="6" t="n"/>
      <c r="C330" s="9" t="n"/>
      <c r="D330" s="9" t="n"/>
      <c r="E330" s="9" t="n"/>
      <c r="F330" s="10">
        <f>IF(A330="","",IF(DAY(A330)&lt;=5,DATE(YEAR(A330),MONTH(A330),5),DATE(YEAR(A330),MONTH(A330)+1,5)))</f>
        <v/>
      </c>
      <c r="G330" s="7">
        <f>IF(B330="","",IFERROR(INDEX(Subcontractors!$E$2:$E$101,MATCH(B330,Subcontractors!$A$2:$A$101,0)),0.3))</f>
        <v/>
      </c>
      <c r="H330" s="11">
        <f>IF(B330="","",ROUND(N(C330)*G330,2))</f>
        <v/>
      </c>
      <c r="I330" s="11">
        <f>IF(B330="","",N(C330)+N(D330)+N(E330)-H330)</f>
        <v/>
      </c>
    </row>
    <row r="331">
      <c r="A331" s="8" t="n"/>
      <c r="B331" s="6" t="n"/>
      <c r="C331" s="9" t="n"/>
      <c r="D331" s="9" t="n"/>
      <c r="E331" s="9" t="n"/>
      <c r="F331" s="10">
        <f>IF(A331="","",IF(DAY(A331)&lt;=5,DATE(YEAR(A331),MONTH(A331),5),DATE(YEAR(A331),MONTH(A331)+1,5)))</f>
        <v/>
      </c>
      <c r="G331" s="7">
        <f>IF(B331="","",IFERROR(INDEX(Subcontractors!$E$2:$E$101,MATCH(B331,Subcontractors!$A$2:$A$101,0)),0.3))</f>
        <v/>
      </c>
      <c r="H331" s="11">
        <f>IF(B331="","",ROUND(N(C331)*G331,2))</f>
        <v/>
      </c>
      <c r="I331" s="11">
        <f>IF(B331="","",N(C331)+N(D331)+N(E331)-H331)</f>
        <v/>
      </c>
    </row>
    <row r="332">
      <c r="A332" s="8" t="n"/>
      <c r="B332" s="6" t="n"/>
      <c r="C332" s="9" t="n"/>
      <c r="D332" s="9" t="n"/>
      <c r="E332" s="9" t="n"/>
      <c r="F332" s="10">
        <f>IF(A332="","",IF(DAY(A332)&lt;=5,DATE(YEAR(A332),MONTH(A332),5),DATE(YEAR(A332),MONTH(A332)+1,5)))</f>
        <v/>
      </c>
      <c r="G332" s="7">
        <f>IF(B332="","",IFERROR(INDEX(Subcontractors!$E$2:$E$101,MATCH(B332,Subcontractors!$A$2:$A$101,0)),0.3))</f>
        <v/>
      </c>
      <c r="H332" s="11">
        <f>IF(B332="","",ROUND(N(C332)*G332,2))</f>
        <v/>
      </c>
      <c r="I332" s="11">
        <f>IF(B332="","",N(C332)+N(D332)+N(E332)-H332)</f>
        <v/>
      </c>
    </row>
    <row r="333">
      <c r="A333" s="8" t="n"/>
      <c r="B333" s="6" t="n"/>
      <c r="C333" s="9" t="n"/>
      <c r="D333" s="9" t="n"/>
      <c r="E333" s="9" t="n"/>
      <c r="F333" s="10">
        <f>IF(A333="","",IF(DAY(A333)&lt;=5,DATE(YEAR(A333),MONTH(A333),5),DATE(YEAR(A333),MONTH(A333)+1,5)))</f>
        <v/>
      </c>
      <c r="G333" s="7">
        <f>IF(B333="","",IFERROR(INDEX(Subcontractors!$E$2:$E$101,MATCH(B333,Subcontractors!$A$2:$A$101,0)),0.3))</f>
        <v/>
      </c>
      <c r="H333" s="11">
        <f>IF(B333="","",ROUND(N(C333)*G333,2))</f>
        <v/>
      </c>
      <c r="I333" s="11">
        <f>IF(B333="","",N(C333)+N(D333)+N(E333)-H333)</f>
        <v/>
      </c>
    </row>
    <row r="334">
      <c r="A334" s="8" t="n"/>
      <c r="B334" s="6" t="n"/>
      <c r="C334" s="9" t="n"/>
      <c r="D334" s="9" t="n"/>
      <c r="E334" s="9" t="n"/>
      <c r="F334" s="10">
        <f>IF(A334="","",IF(DAY(A334)&lt;=5,DATE(YEAR(A334),MONTH(A334),5),DATE(YEAR(A334),MONTH(A334)+1,5)))</f>
        <v/>
      </c>
      <c r="G334" s="7">
        <f>IF(B334="","",IFERROR(INDEX(Subcontractors!$E$2:$E$101,MATCH(B334,Subcontractors!$A$2:$A$101,0)),0.3))</f>
        <v/>
      </c>
      <c r="H334" s="11">
        <f>IF(B334="","",ROUND(N(C334)*G334,2))</f>
        <v/>
      </c>
      <c r="I334" s="11">
        <f>IF(B334="","",N(C334)+N(D334)+N(E334)-H334)</f>
        <v/>
      </c>
    </row>
    <row r="335">
      <c r="A335" s="8" t="n"/>
      <c r="B335" s="6" t="n"/>
      <c r="C335" s="9" t="n"/>
      <c r="D335" s="9" t="n"/>
      <c r="E335" s="9" t="n"/>
      <c r="F335" s="10">
        <f>IF(A335="","",IF(DAY(A335)&lt;=5,DATE(YEAR(A335),MONTH(A335),5),DATE(YEAR(A335),MONTH(A335)+1,5)))</f>
        <v/>
      </c>
      <c r="G335" s="7">
        <f>IF(B335="","",IFERROR(INDEX(Subcontractors!$E$2:$E$101,MATCH(B335,Subcontractors!$A$2:$A$101,0)),0.3))</f>
        <v/>
      </c>
      <c r="H335" s="11">
        <f>IF(B335="","",ROUND(N(C335)*G335,2))</f>
        <v/>
      </c>
      <c r="I335" s="11">
        <f>IF(B335="","",N(C335)+N(D335)+N(E335)-H335)</f>
        <v/>
      </c>
    </row>
    <row r="336">
      <c r="A336" s="8" t="n"/>
      <c r="B336" s="6" t="n"/>
      <c r="C336" s="9" t="n"/>
      <c r="D336" s="9" t="n"/>
      <c r="E336" s="9" t="n"/>
      <c r="F336" s="10">
        <f>IF(A336="","",IF(DAY(A336)&lt;=5,DATE(YEAR(A336),MONTH(A336),5),DATE(YEAR(A336),MONTH(A336)+1,5)))</f>
        <v/>
      </c>
      <c r="G336" s="7">
        <f>IF(B336="","",IFERROR(INDEX(Subcontractors!$E$2:$E$101,MATCH(B336,Subcontractors!$A$2:$A$101,0)),0.3))</f>
        <v/>
      </c>
      <c r="H336" s="11">
        <f>IF(B336="","",ROUND(N(C336)*G336,2))</f>
        <v/>
      </c>
      <c r="I336" s="11">
        <f>IF(B336="","",N(C336)+N(D336)+N(E336)-H336)</f>
        <v/>
      </c>
    </row>
    <row r="337">
      <c r="A337" s="8" t="n"/>
      <c r="B337" s="6" t="n"/>
      <c r="C337" s="9" t="n"/>
      <c r="D337" s="9" t="n"/>
      <c r="E337" s="9" t="n"/>
      <c r="F337" s="10">
        <f>IF(A337="","",IF(DAY(A337)&lt;=5,DATE(YEAR(A337),MONTH(A337),5),DATE(YEAR(A337),MONTH(A337)+1,5)))</f>
        <v/>
      </c>
      <c r="G337" s="7">
        <f>IF(B337="","",IFERROR(INDEX(Subcontractors!$E$2:$E$101,MATCH(B337,Subcontractors!$A$2:$A$101,0)),0.3))</f>
        <v/>
      </c>
      <c r="H337" s="11">
        <f>IF(B337="","",ROUND(N(C337)*G337,2))</f>
        <v/>
      </c>
      <c r="I337" s="11">
        <f>IF(B337="","",N(C337)+N(D337)+N(E337)-H337)</f>
        <v/>
      </c>
    </row>
    <row r="338">
      <c r="A338" s="8" t="n"/>
      <c r="B338" s="6" t="n"/>
      <c r="C338" s="9" t="n"/>
      <c r="D338" s="9" t="n"/>
      <c r="E338" s="9" t="n"/>
      <c r="F338" s="10">
        <f>IF(A338="","",IF(DAY(A338)&lt;=5,DATE(YEAR(A338),MONTH(A338),5),DATE(YEAR(A338),MONTH(A338)+1,5)))</f>
        <v/>
      </c>
      <c r="G338" s="7">
        <f>IF(B338="","",IFERROR(INDEX(Subcontractors!$E$2:$E$101,MATCH(B338,Subcontractors!$A$2:$A$101,0)),0.3))</f>
        <v/>
      </c>
      <c r="H338" s="11">
        <f>IF(B338="","",ROUND(N(C338)*G338,2))</f>
        <v/>
      </c>
      <c r="I338" s="11">
        <f>IF(B338="","",N(C338)+N(D338)+N(E338)-H338)</f>
        <v/>
      </c>
    </row>
    <row r="339">
      <c r="A339" s="8" t="n"/>
      <c r="B339" s="6" t="n"/>
      <c r="C339" s="9" t="n"/>
      <c r="D339" s="9" t="n"/>
      <c r="E339" s="9" t="n"/>
      <c r="F339" s="10">
        <f>IF(A339="","",IF(DAY(A339)&lt;=5,DATE(YEAR(A339),MONTH(A339),5),DATE(YEAR(A339),MONTH(A339)+1,5)))</f>
        <v/>
      </c>
      <c r="G339" s="7">
        <f>IF(B339="","",IFERROR(INDEX(Subcontractors!$E$2:$E$101,MATCH(B339,Subcontractors!$A$2:$A$101,0)),0.3))</f>
        <v/>
      </c>
      <c r="H339" s="11">
        <f>IF(B339="","",ROUND(N(C339)*G339,2))</f>
        <v/>
      </c>
      <c r="I339" s="11">
        <f>IF(B339="","",N(C339)+N(D339)+N(E339)-H339)</f>
        <v/>
      </c>
    </row>
    <row r="340">
      <c r="A340" s="8" t="n"/>
      <c r="B340" s="6" t="n"/>
      <c r="C340" s="9" t="n"/>
      <c r="D340" s="9" t="n"/>
      <c r="E340" s="9" t="n"/>
      <c r="F340" s="10">
        <f>IF(A340="","",IF(DAY(A340)&lt;=5,DATE(YEAR(A340),MONTH(A340),5),DATE(YEAR(A340),MONTH(A340)+1,5)))</f>
        <v/>
      </c>
      <c r="G340" s="7">
        <f>IF(B340="","",IFERROR(INDEX(Subcontractors!$E$2:$E$101,MATCH(B340,Subcontractors!$A$2:$A$101,0)),0.3))</f>
        <v/>
      </c>
      <c r="H340" s="11">
        <f>IF(B340="","",ROUND(N(C340)*G340,2))</f>
        <v/>
      </c>
      <c r="I340" s="11">
        <f>IF(B340="","",N(C340)+N(D340)+N(E340)-H340)</f>
        <v/>
      </c>
    </row>
    <row r="341">
      <c r="A341" s="8" t="n"/>
      <c r="B341" s="6" t="n"/>
      <c r="C341" s="9" t="n"/>
      <c r="D341" s="9" t="n"/>
      <c r="E341" s="9" t="n"/>
      <c r="F341" s="10">
        <f>IF(A341="","",IF(DAY(A341)&lt;=5,DATE(YEAR(A341),MONTH(A341),5),DATE(YEAR(A341),MONTH(A341)+1,5)))</f>
        <v/>
      </c>
      <c r="G341" s="7">
        <f>IF(B341="","",IFERROR(INDEX(Subcontractors!$E$2:$E$101,MATCH(B341,Subcontractors!$A$2:$A$101,0)),0.3))</f>
        <v/>
      </c>
      <c r="H341" s="11">
        <f>IF(B341="","",ROUND(N(C341)*G341,2))</f>
        <v/>
      </c>
      <c r="I341" s="11">
        <f>IF(B341="","",N(C341)+N(D341)+N(E341)-H341)</f>
        <v/>
      </c>
    </row>
    <row r="342">
      <c r="A342" s="8" t="n"/>
      <c r="B342" s="6" t="n"/>
      <c r="C342" s="9" t="n"/>
      <c r="D342" s="9" t="n"/>
      <c r="E342" s="9" t="n"/>
      <c r="F342" s="10">
        <f>IF(A342="","",IF(DAY(A342)&lt;=5,DATE(YEAR(A342),MONTH(A342),5),DATE(YEAR(A342),MONTH(A342)+1,5)))</f>
        <v/>
      </c>
      <c r="G342" s="7">
        <f>IF(B342="","",IFERROR(INDEX(Subcontractors!$E$2:$E$101,MATCH(B342,Subcontractors!$A$2:$A$101,0)),0.3))</f>
        <v/>
      </c>
      <c r="H342" s="11">
        <f>IF(B342="","",ROUND(N(C342)*G342,2))</f>
        <v/>
      </c>
      <c r="I342" s="11">
        <f>IF(B342="","",N(C342)+N(D342)+N(E342)-H342)</f>
        <v/>
      </c>
    </row>
    <row r="343">
      <c r="A343" s="8" t="n"/>
      <c r="B343" s="6" t="n"/>
      <c r="C343" s="9" t="n"/>
      <c r="D343" s="9" t="n"/>
      <c r="E343" s="9" t="n"/>
      <c r="F343" s="10">
        <f>IF(A343="","",IF(DAY(A343)&lt;=5,DATE(YEAR(A343),MONTH(A343),5),DATE(YEAR(A343),MONTH(A343)+1,5)))</f>
        <v/>
      </c>
      <c r="G343" s="7">
        <f>IF(B343="","",IFERROR(INDEX(Subcontractors!$E$2:$E$101,MATCH(B343,Subcontractors!$A$2:$A$101,0)),0.3))</f>
        <v/>
      </c>
      <c r="H343" s="11">
        <f>IF(B343="","",ROUND(N(C343)*G343,2))</f>
        <v/>
      </c>
      <c r="I343" s="11">
        <f>IF(B343="","",N(C343)+N(D343)+N(E343)-H343)</f>
        <v/>
      </c>
    </row>
    <row r="344">
      <c r="A344" s="8" t="n"/>
      <c r="B344" s="6" t="n"/>
      <c r="C344" s="9" t="n"/>
      <c r="D344" s="9" t="n"/>
      <c r="E344" s="9" t="n"/>
      <c r="F344" s="10">
        <f>IF(A344="","",IF(DAY(A344)&lt;=5,DATE(YEAR(A344),MONTH(A344),5),DATE(YEAR(A344),MONTH(A344)+1,5)))</f>
        <v/>
      </c>
      <c r="G344" s="7">
        <f>IF(B344="","",IFERROR(INDEX(Subcontractors!$E$2:$E$101,MATCH(B344,Subcontractors!$A$2:$A$101,0)),0.3))</f>
        <v/>
      </c>
      <c r="H344" s="11">
        <f>IF(B344="","",ROUND(N(C344)*G344,2))</f>
        <v/>
      </c>
      <c r="I344" s="11">
        <f>IF(B344="","",N(C344)+N(D344)+N(E344)-H344)</f>
        <v/>
      </c>
    </row>
    <row r="345">
      <c r="A345" s="8" t="n"/>
      <c r="B345" s="6" t="n"/>
      <c r="C345" s="9" t="n"/>
      <c r="D345" s="9" t="n"/>
      <c r="E345" s="9" t="n"/>
      <c r="F345" s="10">
        <f>IF(A345="","",IF(DAY(A345)&lt;=5,DATE(YEAR(A345),MONTH(A345),5),DATE(YEAR(A345),MONTH(A345)+1,5)))</f>
        <v/>
      </c>
      <c r="G345" s="7">
        <f>IF(B345="","",IFERROR(INDEX(Subcontractors!$E$2:$E$101,MATCH(B345,Subcontractors!$A$2:$A$101,0)),0.3))</f>
        <v/>
      </c>
      <c r="H345" s="11">
        <f>IF(B345="","",ROUND(N(C345)*G345,2))</f>
        <v/>
      </c>
      <c r="I345" s="11">
        <f>IF(B345="","",N(C345)+N(D345)+N(E345)-H345)</f>
        <v/>
      </c>
    </row>
    <row r="346">
      <c r="A346" s="8" t="n"/>
      <c r="B346" s="6" t="n"/>
      <c r="C346" s="9" t="n"/>
      <c r="D346" s="9" t="n"/>
      <c r="E346" s="9" t="n"/>
      <c r="F346" s="10">
        <f>IF(A346="","",IF(DAY(A346)&lt;=5,DATE(YEAR(A346),MONTH(A346),5),DATE(YEAR(A346),MONTH(A346)+1,5)))</f>
        <v/>
      </c>
      <c r="G346" s="7">
        <f>IF(B346="","",IFERROR(INDEX(Subcontractors!$E$2:$E$101,MATCH(B346,Subcontractors!$A$2:$A$101,0)),0.3))</f>
        <v/>
      </c>
      <c r="H346" s="11">
        <f>IF(B346="","",ROUND(N(C346)*G346,2))</f>
        <v/>
      </c>
      <c r="I346" s="11">
        <f>IF(B346="","",N(C346)+N(D346)+N(E346)-H346)</f>
        <v/>
      </c>
    </row>
    <row r="347">
      <c r="A347" s="8" t="n"/>
      <c r="B347" s="6" t="n"/>
      <c r="C347" s="9" t="n"/>
      <c r="D347" s="9" t="n"/>
      <c r="E347" s="9" t="n"/>
      <c r="F347" s="10">
        <f>IF(A347="","",IF(DAY(A347)&lt;=5,DATE(YEAR(A347),MONTH(A347),5),DATE(YEAR(A347),MONTH(A347)+1,5)))</f>
        <v/>
      </c>
      <c r="G347" s="7">
        <f>IF(B347="","",IFERROR(INDEX(Subcontractors!$E$2:$E$101,MATCH(B347,Subcontractors!$A$2:$A$101,0)),0.3))</f>
        <v/>
      </c>
      <c r="H347" s="11">
        <f>IF(B347="","",ROUND(N(C347)*G347,2))</f>
        <v/>
      </c>
      <c r="I347" s="11">
        <f>IF(B347="","",N(C347)+N(D347)+N(E347)-H347)</f>
        <v/>
      </c>
    </row>
    <row r="348">
      <c r="A348" s="8" t="n"/>
      <c r="B348" s="6" t="n"/>
      <c r="C348" s="9" t="n"/>
      <c r="D348" s="9" t="n"/>
      <c r="E348" s="9" t="n"/>
      <c r="F348" s="10">
        <f>IF(A348="","",IF(DAY(A348)&lt;=5,DATE(YEAR(A348),MONTH(A348),5),DATE(YEAR(A348),MONTH(A348)+1,5)))</f>
        <v/>
      </c>
      <c r="G348" s="7">
        <f>IF(B348="","",IFERROR(INDEX(Subcontractors!$E$2:$E$101,MATCH(B348,Subcontractors!$A$2:$A$101,0)),0.3))</f>
        <v/>
      </c>
      <c r="H348" s="11">
        <f>IF(B348="","",ROUND(N(C348)*G348,2))</f>
        <v/>
      </c>
      <c r="I348" s="11">
        <f>IF(B348="","",N(C348)+N(D348)+N(E348)-H348)</f>
        <v/>
      </c>
    </row>
    <row r="349">
      <c r="A349" s="8" t="n"/>
      <c r="B349" s="6" t="n"/>
      <c r="C349" s="9" t="n"/>
      <c r="D349" s="9" t="n"/>
      <c r="E349" s="9" t="n"/>
      <c r="F349" s="10">
        <f>IF(A349="","",IF(DAY(A349)&lt;=5,DATE(YEAR(A349),MONTH(A349),5),DATE(YEAR(A349),MONTH(A349)+1,5)))</f>
        <v/>
      </c>
      <c r="G349" s="7">
        <f>IF(B349="","",IFERROR(INDEX(Subcontractors!$E$2:$E$101,MATCH(B349,Subcontractors!$A$2:$A$101,0)),0.3))</f>
        <v/>
      </c>
      <c r="H349" s="11">
        <f>IF(B349="","",ROUND(N(C349)*G349,2))</f>
        <v/>
      </c>
      <c r="I349" s="11">
        <f>IF(B349="","",N(C349)+N(D349)+N(E349)-H349)</f>
        <v/>
      </c>
    </row>
    <row r="350">
      <c r="A350" s="8" t="n"/>
      <c r="B350" s="6" t="n"/>
      <c r="C350" s="9" t="n"/>
      <c r="D350" s="9" t="n"/>
      <c r="E350" s="9" t="n"/>
      <c r="F350" s="10">
        <f>IF(A350="","",IF(DAY(A350)&lt;=5,DATE(YEAR(A350),MONTH(A350),5),DATE(YEAR(A350),MONTH(A350)+1,5)))</f>
        <v/>
      </c>
      <c r="G350" s="7">
        <f>IF(B350="","",IFERROR(INDEX(Subcontractors!$E$2:$E$101,MATCH(B350,Subcontractors!$A$2:$A$101,0)),0.3))</f>
        <v/>
      </c>
      <c r="H350" s="11">
        <f>IF(B350="","",ROUND(N(C350)*G350,2))</f>
        <v/>
      </c>
      <c r="I350" s="11">
        <f>IF(B350="","",N(C350)+N(D350)+N(E350)-H350)</f>
        <v/>
      </c>
    </row>
    <row r="351">
      <c r="A351" s="8" t="n"/>
      <c r="B351" s="6" t="n"/>
      <c r="C351" s="9" t="n"/>
      <c r="D351" s="9" t="n"/>
      <c r="E351" s="9" t="n"/>
      <c r="F351" s="10">
        <f>IF(A351="","",IF(DAY(A351)&lt;=5,DATE(YEAR(A351),MONTH(A351),5),DATE(YEAR(A351),MONTH(A351)+1,5)))</f>
        <v/>
      </c>
      <c r="G351" s="7">
        <f>IF(B351="","",IFERROR(INDEX(Subcontractors!$E$2:$E$101,MATCH(B351,Subcontractors!$A$2:$A$101,0)),0.3))</f>
        <v/>
      </c>
      <c r="H351" s="11">
        <f>IF(B351="","",ROUND(N(C351)*G351,2))</f>
        <v/>
      </c>
      <c r="I351" s="11">
        <f>IF(B351="","",N(C351)+N(D351)+N(E351)-H351)</f>
        <v/>
      </c>
    </row>
    <row r="352">
      <c r="A352" s="8" t="n"/>
      <c r="B352" s="6" t="n"/>
      <c r="C352" s="9" t="n"/>
      <c r="D352" s="9" t="n"/>
      <c r="E352" s="9" t="n"/>
      <c r="F352" s="10">
        <f>IF(A352="","",IF(DAY(A352)&lt;=5,DATE(YEAR(A352),MONTH(A352),5),DATE(YEAR(A352),MONTH(A352)+1,5)))</f>
        <v/>
      </c>
      <c r="G352" s="7">
        <f>IF(B352="","",IFERROR(INDEX(Subcontractors!$E$2:$E$101,MATCH(B352,Subcontractors!$A$2:$A$101,0)),0.3))</f>
        <v/>
      </c>
      <c r="H352" s="11">
        <f>IF(B352="","",ROUND(N(C352)*G352,2))</f>
        <v/>
      </c>
      <c r="I352" s="11">
        <f>IF(B352="","",N(C352)+N(D352)+N(E352)-H352)</f>
        <v/>
      </c>
    </row>
    <row r="353">
      <c r="A353" s="8" t="n"/>
      <c r="B353" s="6" t="n"/>
      <c r="C353" s="9" t="n"/>
      <c r="D353" s="9" t="n"/>
      <c r="E353" s="9" t="n"/>
      <c r="F353" s="10">
        <f>IF(A353="","",IF(DAY(A353)&lt;=5,DATE(YEAR(A353),MONTH(A353),5),DATE(YEAR(A353),MONTH(A353)+1,5)))</f>
        <v/>
      </c>
      <c r="G353" s="7">
        <f>IF(B353="","",IFERROR(INDEX(Subcontractors!$E$2:$E$101,MATCH(B353,Subcontractors!$A$2:$A$101,0)),0.3))</f>
        <v/>
      </c>
      <c r="H353" s="11">
        <f>IF(B353="","",ROUND(N(C353)*G353,2))</f>
        <v/>
      </c>
      <c r="I353" s="11">
        <f>IF(B353="","",N(C353)+N(D353)+N(E353)-H353)</f>
        <v/>
      </c>
    </row>
    <row r="354">
      <c r="A354" s="8" t="n"/>
      <c r="B354" s="6" t="n"/>
      <c r="C354" s="9" t="n"/>
      <c r="D354" s="9" t="n"/>
      <c r="E354" s="9" t="n"/>
      <c r="F354" s="10">
        <f>IF(A354="","",IF(DAY(A354)&lt;=5,DATE(YEAR(A354),MONTH(A354),5),DATE(YEAR(A354),MONTH(A354)+1,5)))</f>
        <v/>
      </c>
      <c r="G354" s="7">
        <f>IF(B354="","",IFERROR(INDEX(Subcontractors!$E$2:$E$101,MATCH(B354,Subcontractors!$A$2:$A$101,0)),0.3))</f>
        <v/>
      </c>
      <c r="H354" s="11">
        <f>IF(B354="","",ROUND(N(C354)*G354,2))</f>
        <v/>
      </c>
      <c r="I354" s="11">
        <f>IF(B354="","",N(C354)+N(D354)+N(E354)-H354)</f>
        <v/>
      </c>
    </row>
    <row r="355">
      <c r="A355" s="8" t="n"/>
      <c r="B355" s="6" t="n"/>
      <c r="C355" s="9" t="n"/>
      <c r="D355" s="9" t="n"/>
      <c r="E355" s="9" t="n"/>
      <c r="F355" s="10">
        <f>IF(A355="","",IF(DAY(A355)&lt;=5,DATE(YEAR(A355),MONTH(A355),5),DATE(YEAR(A355),MONTH(A355)+1,5)))</f>
        <v/>
      </c>
      <c r="G355" s="7">
        <f>IF(B355="","",IFERROR(INDEX(Subcontractors!$E$2:$E$101,MATCH(B355,Subcontractors!$A$2:$A$101,0)),0.3))</f>
        <v/>
      </c>
      <c r="H355" s="11">
        <f>IF(B355="","",ROUND(N(C355)*G355,2))</f>
        <v/>
      </c>
      <c r="I355" s="11">
        <f>IF(B355="","",N(C355)+N(D355)+N(E355)-H355)</f>
        <v/>
      </c>
    </row>
    <row r="356">
      <c r="A356" s="8" t="n"/>
      <c r="B356" s="6" t="n"/>
      <c r="C356" s="9" t="n"/>
      <c r="D356" s="9" t="n"/>
      <c r="E356" s="9" t="n"/>
      <c r="F356" s="10">
        <f>IF(A356="","",IF(DAY(A356)&lt;=5,DATE(YEAR(A356),MONTH(A356),5),DATE(YEAR(A356),MONTH(A356)+1,5)))</f>
        <v/>
      </c>
      <c r="G356" s="7">
        <f>IF(B356="","",IFERROR(INDEX(Subcontractors!$E$2:$E$101,MATCH(B356,Subcontractors!$A$2:$A$101,0)),0.3))</f>
        <v/>
      </c>
      <c r="H356" s="11">
        <f>IF(B356="","",ROUND(N(C356)*G356,2))</f>
        <v/>
      </c>
      <c r="I356" s="11">
        <f>IF(B356="","",N(C356)+N(D356)+N(E356)-H356)</f>
        <v/>
      </c>
    </row>
    <row r="357">
      <c r="A357" s="8" t="n"/>
      <c r="B357" s="6" t="n"/>
      <c r="C357" s="9" t="n"/>
      <c r="D357" s="9" t="n"/>
      <c r="E357" s="9" t="n"/>
      <c r="F357" s="10">
        <f>IF(A357="","",IF(DAY(A357)&lt;=5,DATE(YEAR(A357),MONTH(A357),5),DATE(YEAR(A357),MONTH(A357)+1,5)))</f>
        <v/>
      </c>
      <c r="G357" s="7">
        <f>IF(B357="","",IFERROR(INDEX(Subcontractors!$E$2:$E$101,MATCH(B357,Subcontractors!$A$2:$A$101,0)),0.3))</f>
        <v/>
      </c>
      <c r="H357" s="11">
        <f>IF(B357="","",ROUND(N(C357)*G357,2))</f>
        <v/>
      </c>
      <c r="I357" s="11">
        <f>IF(B357="","",N(C357)+N(D357)+N(E357)-H357)</f>
        <v/>
      </c>
    </row>
    <row r="358">
      <c r="A358" s="8" t="n"/>
      <c r="B358" s="6" t="n"/>
      <c r="C358" s="9" t="n"/>
      <c r="D358" s="9" t="n"/>
      <c r="E358" s="9" t="n"/>
      <c r="F358" s="10">
        <f>IF(A358="","",IF(DAY(A358)&lt;=5,DATE(YEAR(A358),MONTH(A358),5),DATE(YEAR(A358),MONTH(A358)+1,5)))</f>
        <v/>
      </c>
      <c r="G358" s="7">
        <f>IF(B358="","",IFERROR(INDEX(Subcontractors!$E$2:$E$101,MATCH(B358,Subcontractors!$A$2:$A$101,0)),0.3))</f>
        <v/>
      </c>
      <c r="H358" s="11">
        <f>IF(B358="","",ROUND(N(C358)*G358,2))</f>
        <v/>
      </c>
      <c r="I358" s="11">
        <f>IF(B358="","",N(C358)+N(D358)+N(E358)-H358)</f>
        <v/>
      </c>
    </row>
    <row r="359">
      <c r="A359" s="8" t="n"/>
      <c r="B359" s="6" t="n"/>
      <c r="C359" s="9" t="n"/>
      <c r="D359" s="9" t="n"/>
      <c r="E359" s="9" t="n"/>
      <c r="F359" s="10">
        <f>IF(A359="","",IF(DAY(A359)&lt;=5,DATE(YEAR(A359),MONTH(A359),5),DATE(YEAR(A359),MONTH(A359)+1,5)))</f>
        <v/>
      </c>
      <c r="G359" s="7">
        <f>IF(B359="","",IFERROR(INDEX(Subcontractors!$E$2:$E$101,MATCH(B359,Subcontractors!$A$2:$A$101,0)),0.3))</f>
        <v/>
      </c>
      <c r="H359" s="11">
        <f>IF(B359="","",ROUND(N(C359)*G359,2))</f>
        <v/>
      </c>
      <c r="I359" s="11">
        <f>IF(B359="","",N(C359)+N(D359)+N(E359)-H359)</f>
        <v/>
      </c>
    </row>
    <row r="360">
      <c r="A360" s="8" t="n"/>
      <c r="B360" s="6" t="n"/>
      <c r="C360" s="9" t="n"/>
      <c r="D360" s="9" t="n"/>
      <c r="E360" s="9" t="n"/>
      <c r="F360" s="10">
        <f>IF(A360="","",IF(DAY(A360)&lt;=5,DATE(YEAR(A360),MONTH(A360),5),DATE(YEAR(A360),MONTH(A360)+1,5)))</f>
        <v/>
      </c>
      <c r="G360" s="7">
        <f>IF(B360="","",IFERROR(INDEX(Subcontractors!$E$2:$E$101,MATCH(B360,Subcontractors!$A$2:$A$101,0)),0.3))</f>
        <v/>
      </c>
      <c r="H360" s="11">
        <f>IF(B360="","",ROUND(N(C360)*G360,2))</f>
        <v/>
      </c>
      <c r="I360" s="11">
        <f>IF(B360="","",N(C360)+N(D360)+N(E360)-H360)</f>
        <v/>
      </c>
    </row>
    <row r="361">
      <c r="A361" s="8" t="n"/>
      <c r="B361" s="6" t="n"/>
      <c r="C361" s="9" t="n"/>
      <c r="D361" s="9" t="n"/>
      <c r="E361" s="9" t="n"/>
      <c r="F361" s="10">
        <f>IF(A361="","",IF(DAY(A361)&lt;=5,DATE(YEAR(A361),MONTH(A361),5),DATE(YEAR(A361),MONTH(A361)+1,5)))</f>
        <v/>
      </c>
      <c r="G361" s="7">
        <f>IF(B361="","",IFERROR(INDEX(Subcontractors!$E$2:$E$101,MATCH(B361,Subcontractors!$A$2:$A$101,0)),0.3))</f>
        <v/>
      </c>
      <c r="H361" s="11">
        <f>IF(B361="","",ROUND(N(C361)*G361,2))</f>
        <v/>
      </c>
      <c r="I361" s="11">
        <f>IF(B361="","",N(C361)+N(D361)+N(E361)-H361)</f>
        <v/>
      </c>
    </row>
    <row r="362">
      <c r="A362" s="8" t="n"/>
      <c r="B362" s="6" t="n"/>
      <c r="C362" s="9" t="n"/>
      <c r="D362" s="9" t="n"/>
      <c r="E362" s="9" t="n"/>
      <c r="F362" s="10">
        <f>IF(A362="","",IF(DAY(A362)&lt;=5,DATE(YEAR(A362),MONTH(A362),5),DATE(YEAR(A362),MONTH(A362)+1,5)))</f>
        <v/>
      </c>
      <c r="G362" s="7">
        <f>IF(B362="","",IFERROR(INDEX(Subcontractors!$E$2:$E$101,MATCH(B362,Subcontractors!$A$2:$A$101,0)),0.3))</f>
        <v/>
      </c>
      <c r="H362" s="11">
        <f>IF(B362="","",ROUND(N(C362)*G362,2))</f>
        <v/>
      </c>
      <c r="I362" s="11">
        <f>IF(B362="","",N(C362)+N(D362)+N(E362)-H362)</f>
        <v/>
      </c>
    </row>
    <row r="363">
      <c r="A363" s="8" t="n"/>
      <c r="B363" s="6" t="n"/>
      <c r="C363" s="9" t="n"/>
      <c r="D363" s="9" t="n"/>
      <c r="E363" s="9" t="n"/>
      <c r="F363" s="10">
        <f>IF(A363="","",IF(DAY(A363)&lt;=5,DATE(YEAR(A363),MONTH(A363),5),DATE(YEAR(A363),MONTH(A363)+1,5)))</f>
        <v/>
      </c>
      <c r="G363" s="7">
        <f>IF(B363="","",IFERROR(INDEX(Subcontractors!$E$2:$E$101,MATCH(B363,Subcontractors!$A$2:$A$101,0)),0.3))</f>
        <v/>
      </c>
      <c r="H363" s="11">
        <f>IF(B363="","",ROUND(N(C363)*G363,2))</f>
        <v/>
      </c>
      <c r="I363" s="11">
        <f>IF(B363="","",N(C363)+N(D363)+N(E363)-H363)</f>
        <v/>
      </c>
    </row>
    <row r="364">
      <c r="A364" s="8" t="n"/>
      <c r="B364" s="6" t="n"/>
      <c r="C364" s="9" t="n"/>
      <c r="D364" s="9" t="n"/>
      <c r="E364" s="9" t="n"/>
      <c r="F364" s="10">
        <f>IF(A364="","",IF(DAY(A364)&lt;=5,DATE(YEAR(A364),MONTH(A364),5),DATE(YEAR(A364),MONTH(A364)+1,5)))</f>
        <v/>
      </c>
      <c r="G364" s="7">
        <f>IF(B364="","",IFERROR(INDEX(Subcontractors!$E$2:$E$101,MATCH(B364,Subcontractors!$A$2:$A$101,0)),0.3))</f>
        <v/>
      </c>
      <c r="H364" s="11">
        <f>IF(B364="","",ROUND(N(C364)*G364,2))</f>
        <v/>
      </c>
      <c r="I364" s="11">
        <f>IF(B364="","",N(C364)+N(D364)+N(E364)-H364)</f>
        <v/>
      </c>
    </row>
    <row r="365">
      <c r="A365" s="8" t="n"/>
      <c r="B365" s="6" t="n"/>
      <c r="C365" s="9" t="n"/>
      <c r="D365" s="9" t="n"/>
      <c r="E365" s="9" t="n"/>
      <c r="F365" s="10">
        <f>IF(A365="","",IF(DAY(A365)&lt;=5,DATE(YEAR(A365),MONTH(A365),5),DATE(YEAR(A365),MONTH(A365)+1,5)))</f>
        <v/>
      </c>
      <c r="G365" s="7">
        <f>IF(B365="","",IFERROR(INDEX(Subcontractors!$E$2:$E$101,MATCH(B365,Subcontractors!$A$2:$A$101,0)),0.3))</f>
        <v/>
      </c>
      <c r="H365" s="11">
        <f>IF(B365="","",ROUND(N(C365)*G365,2))</f>
        <v/>
      </c>
      <c r="I365" s="11">
        <f>IF(B365="","",N(C365)+N(D365)+N(E365)-H365)</f>
        <v/>
      </c>
    </row>
    <row r="366">
      <c r="A366" s="8" t="n"/>
      <c r="B366" s="6" t="n"/>
      <c r="C366" s="9" t="n"/>
      <c r="D366" s="9" t="n"/>
      <c r="E366" s="9" t="n"/>
      <c r="F366" s="10">
        <f>IF(A366="","",IF(DAY(A366)&lt;=5,DATE(YEAR(A366),MONTH(A366),5),DATE(YEAR(A366),MONTH(A366)+1,5)))</f>
        <v/>
      </c>
      <c r="G366" s="7">
        <f>IF(B366="","",IFERROR(INDEX(Subcontractors!$E$2:$E$101,MATCH(B366,Subcontractors!$A$2:$A$101,0)),0.3))</f>
        <v/>
      </c>
      <c r="H366" s="11">
        <f>IF(B366="","",ROUND(N(C366)*G366,2))</f>
        <v/>
      </c>
      <c r="I366" s="11">
        <f>IF(B366="","",N(C366)+N(D366)+N(E366)-H366)</f>
        <v/>
      </c>
    </row>
    <row r="367">
      <c r="A367" s="8" t="n"/>
      <c r="B367" s="6" t="n"/>
      <c r="C367" s="9" t="n"/>
      <c r="D367" s="9" t="n"/>
      <c r="E367" s="9" t="n"/>
      <c r="F367" s="10">
        <f>IF(A367="","",IF(DAY(A367)&lt;=5,DATE(YEAR(A367),MONTH(A367),5),DATE(YEAR(A367),MONTH(A367)+1,5)))</f>
        <v/>
      </c>
      <c r="G367" s="7">
        <f>IF(B367="","",IFERROR(INDEX(Subcontractors!$E$2:$E$101,MATCH(B367,Subcontractors!$A$2:$A$101,0)),0.3))</f>
        <v/>
      </c>
      <c r="H367" s="11">
        <f>IF(B367="","",ROUND(N(C367)*G367,2))</f>
        <v/>
      </c>
      <c r="I367" s="11">
        <f>IF(B367="","",N(C367)+N(D367)+N(E367)-H367)</f>
        <v/>
      </c>
    </row>
    <row r="368">
      <c r="A368" s="8" t="n"/>
      <c r="B368" s="6" t="n"/>
      <c r="C368" s="9" t="n"/>
      <c r="D368" s="9" t="n"/>
      <c r="E368" s="9" t="n"/>
      <c r="F368" s="10">
        <f>IF(A368="","",IF(DAY(A368)&lt;=5,DATE(YEAR(A368),MONTH(A368),5),DATE(YEAR(A368),MONTH(A368)+1,5)))</f>
        <v/>
      </c>
      <c r="G368" s="7">
        <f>IF(B368="","",IFERROR(INDEX(Subcontractors!$E$2:$E$101,MATCH(B368,Subcontractors!$A$2:$A$101,0)),0.3))</f>
        <v/>
      </c>
      <c r="H368" s="11">
        <f>IF(B368="","",ROUND(N(C368)*G368,2))</f>
        <v/>
      </c>
      <c r="I368" s="11">
        <f>IF(B368="","",N(C368)+N(D368)+N(E368)-H368)</f>
        <v/>
      </c>
    </row>
    <row r="369">
      <c r="A369" s="8" t="n"/>
      <c r="B369" s="6" t="n"/>
      <c r="C369" s="9" t="n"/>
      <c r="D369" s="9" t="n"/>
      <c r="E369" s="9" t="n"/>
      <c r="F369" s="10">
        <f>IF(A369="","",IF(DAY(A369)&lt;=5,DATE(YEAR(A369),MONTH(A369),5),DATE(YEAR(A369),MONTH(A369)+1,5)))</f>
        <v/>
      </c>
      <c r="G369" s="7">
        <f>IF(B369="","",IFERROR(INDEX(Subcontractors!$E$2:$E$101,MATCH(B369,Subcontractors!$A$2:$A$101,0)),0.3))</f>
        <v/>
      </c>
      <c r="H369" s="11">
        <f>IF(B369="","",ROUND(N(C369)*G369,2))</f>
        <v/>
      </c>
      <c r="I369" s="11">
        <f>IF(B369="","",N(C369)+N(D369)+N(E369)-H369)</f>
        <v/>
      </c>
    </row>
    <row r="370">
      <c r="A370" s="8" t="n"/>
      <c r="B370" s="6" t="n"/>
      <c r="C370" s="9" t="n"/>
      <c r="D370" s="9" t="n"/>
      <c r="E370" s="9" t="n"/>
      <c r="F370" s="10">
        <f>IF(A370="","",IF(DAY(A370)&lt;=5,DATE(YEAR(A370),MONTH(A370),5),DATE(YEAR(A370),MONTH(A370)+1,5)))</f>
        <v/>
      </c>
      <c r="G370" s="7">
        <f>IF(B370="","",IFERROR(INDEX(Subcontractors!$E$2:$E$101,MATCH(B370,Subcontractors!$A$2:$A$101,0)),0.3))</f>
        <v/>
      </c>
      <c r="H370" s="11">
        <f>IF(B370="","",ROUND(N(C370)*G370,2))</f>
        <v/>
      </c>
      <c r="I370" s="11">
        <f>IF(B370="","",N(C370)+N(D370)+N(E370)-H370)</f>
        <v/>
      </c>
    </row>
    <row r="371">
      <c r="A371" s="8" t="n"/>
      <c r="B371" s="6" t="n"/>
      <c r="C371" s="9" t="n"/>
      <c r="D371" s="9" t="n"/>
      <c r="E371" s="9" t="n"/>
      <c r="F371" s="10">
        <f>IF(A371="","",IF(DAY(A371)&lt;=5,DATE(YEAR(A371),MONTH(A371),5),DATE(YEAR(A371),MONTH(A371)+1,5)))</f>
        <v/>
      </c>
      <c r="G371" s="7">
        <f>IF(B371="","",IFERROR(INDEX(Subcontractors!$E$2:$E$101,MATCH(B371,Subcontractors!$A$2:$A$101,0)),0.3))</f>
        <v/>
      </c>
      <c r="H371" s="11">
        <f>IF(B371="","",ROUND(N(C371)*G371,2))</f>
        <v/>
      </c>
      <c r="I371" s="11">
        <f>IF(B371="","",N(C371)+N(D371)+N(E371)-H371)</f>
        <v/>
      </c>
    </row>
    <row r="372">
      <c r="A372" s="8" t="n"/>
      <c r="B372" s="6" t="n"/>
      <c r="C372" s="9" t="n"/>
      <c r="D372" s="9" t="n"/>
      <c r="E372" s="9" t="n"/>
      <c r="F372" s="10">
        <f>IF(A372="","",IF(DAY(A372)&lt;=5,DATE(YEAR(A372),MONTH(A372),5),DATE(YEAR(A372),MONTH(A372)+1,5)))</f>
        <v/>
      </c>
      <c r="G372" s="7">
        <f>IF(B372="","",IFERROR(INDEX(Subcontractors!$E$2:$E$101,MATCH(B372,Subcontractors!$A$2:$A$101,0)),0.3))</f>
        <v/>
      </c>
      <c r="H372" s="11">
        <f>IF(B372="","",ROUND(N(C372)*G372,2))</f>
        <v/>
      </c>
      <c r="I372" s="11">
        <f>IF(B372="","",N(C372)+N(D372)+N(E372)-H372)</f>
        <v/>
      </c>
    </row>
    <row r="373">
      <c r="A373" s="8" t="n"/>
      <c r="B373" s="6" t="n"/>
      <c r="C373" s="9" t="n"/>
      <c r="D373" s="9" t="n"/>
      <c r="E373" s="9" t="n"/>
      <c r="F373" s="10">
        <f>IF(A373="","",IF(DAY(A373)&lt;=5,DATE(YEAR(A373),MONTH(A373),5),DATE(YEAR(A373),MONTH(A373)+1,5)))</f>
        <v/>
      </c>
      <c r="G373" s="7">
        <f>IF(B373="","",IFERROR(INDEX(Subcontractors!$E$2:$E$101,MATCH(B373,Subcontractors!$A$2:$A$101,0)),0.3))</f>
        <v/>
      </c>
      <c r="H373" s="11">
        <f>IF(B373="","",ROUND(N(C373)*G373,2))</f>
        <v/>
      </c>
      <c r="I373" s="11">
        <f>IF(B373="","",N(C373)+N(D373)+N(E373)-H373)</f>
        <v/>
      </c>
    </row>
    <row r="374">
      <c r="A374" s="8" t="n"/>
      <c r="B374" s="6" t="n"/>
      <c r="C374" s="9" t="n"/>
      <c r="D374" s="9" t="n"/>
      <c r="E374" s="9" t="n"/>
      <c r="F374" s="10">
        <f>IF(A374="","",IF(DAY(A374)&lt;=5,DATE(YEAR(A374),MONTH(A374),5),DATE(YEAR(A374),MONTH(A374)+1,5)))</f>
        <v/>
      </c>
      <c r="G374" s="7">
        <f>IF(B374="","",IFERROR(INDEX(Subcontractors!$E$2:$E$101,MATCH(B374,Subcontractors!$A$2:$A$101,0)),0.3))</f>
        <v/>
      </c>
      <c r="H374" s="11">
        <f>IF(B374="","",ROUND(N(C374)*G374,2))</f>
        <v/>
      </c>
      <c r="I374" s="11">
        <f>IF(B374="","",N(C374)+N(D374)+N(E374)-H374)</f>
        <v/>
      </c>
    </row>
    <row r="375">
      <c r="A375" s="8" t="n"/>
      <c r="B375" s="6" t="n"/>
      <c r="C375" s="9" t="n"/>
      <c r="D375" s="9" t="n"/>
      <c r="E375" s="9" t="n"/>
      <c r="F375" s="10">
        <f>IF(A375="","",IF(DAY(A375)&lt;=5,DATE(YEAR(A375),MONTH(A375),5),DATE(YEAR(A375),MONTH(A375)+1,5)))</f>
        <v/>
      </c>
      <c r="G375" s="7">
        <f>IF(B375="","",IFERROR(INDEX(Subcontractors!$E$2:$E$101,MATCH(B375,Subcontractors!$A$2:$A$101,0)),0.3))</f>
        <v/>
      </c>
      <c r="H375" s="11">
        <f>IF(B375="","",ROUND(N(C375)*G375,2))</f>
        <v/>
      </c>
      <c r="I375" s="11">
        <f>IF(B375="","",N(C375)+N(D375)+N(E375)-H375)</f>
        <v/>
      </c>
    </row>
    <row r="376">
      <c r="A376" s="8" t="n"/>
      <c r="B376" s="6" t="n"/>
      <c r="C376" s="9" t="n"/>
      <c r="D376" s="9" t="n"/>
      <c r="E376" s="9" t="n"/>
      <c r="F376" s="10">
        <f>IF(A376="","",IF(DAY(A376)&lt;=5,DATE(YEAR(A376),MONTH(A376),5),DATE(YEAR(A376),MONTH(A376)+1,5)))</f>
        <v/>
      </c>
      <c r="G376" s="7">
        <f>IF(B376="","",IFERROR(INDEX(Subcontractors!$E$2:$E$101,MATCH(B376,Subcontractors!$A$2:$A$101,0)),0.3))</f>
        <v/>
      </c>
      <c r="H376" s="11">
        <f>IF(B376="","",ROUND(N(C376)*G376,2))</f>
        <v/>
      </c>
      <c r="I376" s="11">
        <f>IF(B376="","",N(C376)+N(D376)+N(E376)-H376)</f>
        <v/>
      </c>
    </row>
    <row r="377">
      <c r="A377" s="8" t="n"/>
      <c r="B377" s="6" t="n"/>
      <c r="C377" s="9" t="n"/>
      <c r="D377" s="9" t="n"/>
      <c r="E377" s="9" t="n"/>
      <c r="F377" s="10">
        <f>IF(A377="","",IF(DAY(A377)&lt;=5,DATE(YEAR(A377),MONTH(A377),5),DATE(YEAR(A377),MONTH(A377)+1,5)))</f>
        <v/>
      </c>
      <c r="G377" s="7">
        <f>IF(B377="","",IFERROR(INDEX(Subcontractors!$E$2:$E$101,MATCH(B377,Subcontractors!$A$2:$A$101,0)),0.3))</f>
        <v/>
      </c>
      <c r="H377" s="11">
        <f>IF(B377="","",ROUND(N(C377)*G377,2))</f>
        <v/>
      </c>
      <c r="I377" s="11">
        <f>IF(B377="","",N(C377)+N(D377)+N(E377)-H377)</f>
        <v/>
      </c>
    </row>
    <row r="378">
      <c r="A378" s="8" t="n"/>
      <c r="B378" s="6" t="n"/>
      <c r="C378" s="9" t="n"/>
      <c r="D378" s="9" t="n"/>
      <c r="E378" s="9" t="n"/>
      <c r="F378" s="10">
        <f>IF(A378="","",IF(DAY(A378)&lt;=5,DATE(YEAR(A378),MONTH(A378),5),DATE(YEAR(A378),MONTH(A378)+1,5)))</f>
        <v/>
      </c>
      <c r="G378" s="7">
        <f>IF(B378="","",IFERROR(INDEX(Subcontractors!$E$2:$E$101,MATCH(B378,Subcontractors!$A$2:$A$101,0)),0.3))</f>
        <v/>
      </c>
      <c r="H378" s="11">
        <f>IF(B378="","",ROUND(N(C378)*G378,2))</f>
        <v/>
      </c>
      <c r="I378" s="11">
        <f>IF(B378="","",N(C378)+N(D378)+N(E378)-H378)</f>
        <v/>
      </c>
    </row>
    <row r="379">
      <c r="A379" s="8" t="n"/>
      <c r="B379" s="6" t="n"/>
      <c r="C379" s="9" t="n"/>
      <c r="D379" s="9" t="n"/>
      <c r="E379" s="9" t="n"/>
      <c r="F379" s="10">
        <f>IF(A379="","",IF(DAY(A379)&lt;=5,DATE(YEAR(A379),MONTH(A379),5),DATE(YEAR(A379),MONTH(A379)+1,5)))</f>
        <v/>
      </c>
      <c r="G379" s="7">
        <f>IF(B379="","",IFERROR(INDEX(Subcontractors!$E$2:$E$101,MATCH(B379,Subcontractors!$A$2:$A$101,0)),0.3))</f>
        <v/>
      </c>
      <c r="H379" s="11">
        <f>IF(B379="","",ROUND(N(C379)*G379,2))</f>
        <v/>
      </c>
      <c r="I379" s="11">
        <f>IF(B379="","",N(C379)+N(D379)+N(E379)-H379)</f>
        <v/>
      </c>
    </row>
    <row r="380">
      <c r="A380" s="8" t="n"/>
      <c r="B380" s="6" t="n"/>
      <c r="C380" s="9" t="n"/>
      <c r="D380" s="9" t="n"/>
      <c r="E380" s="9" t="n"/>
      <c r="F380" s="10">
        <f>IF(A380="","",IF(DAY(A380)&lt;=5,DATE(YEAR(A380),MONTH(A380),5),DATE(YEAR(A380),MONTH(A380)+1,5)))</f>
        <v/>
      </c>
      <c r="G380" s="7">
        <f>IF(B380="","",IFERROR(INDEX(Subcontractors!$E$2:$E$101,MATCH(B380,Subcontractors!$A$2:$A$101,0)),0.3))</f>
        <v/>
      </c>
      <c r="H380" s="11">
        <f>IF(B380="","",ROUND(N(C380)*G380,2))</f>
        <v/>
      </c>
      <c r="I380" s="11">
        <f>IF(B380="","",N(C380)+N(D380)+N(E380)-H380)</f>
        <v/>
      </c>
    </row>
    <row r="381">
      <c r="A381" s="8" t="n"/>
      <c r="B381" s="6" t="n"/>
      <c r="C381" s="9" t="n"/>
      <c r="D381" s="9" t="n"/>
      <c r="E381" s="9" t="n"/>
      <c r="F381" s="10">
        <f>IF(A381="","",IF(DAY(A381)&lt;=5,DATE(YEAR(A381),MONTH(A381),5),DATE(YEAR(A381),MONTH(A381)+1,5)))</f>
        <v/>
      </c>
      <c r="G381" s="7">
        <f>IF(B381="","",IFERROR(INDEX(Subcontractors!$E$2:$E$101,MATCH(B381,Subcontractors!$A$2:$A$101,0)),0.3))</f>
        <v/>
      </c>
      <c r="H381" s="11">
        <f>IF(B381="","",ROUND(N(C381)*G381,2))</f>
        <v/>
      </c>
      <c r="I381" s="11">
        <f>IF(B381="","",N(C381)+N(D381)+N(E381)-H381)</f>
        <v/>
      </c>
    </row>
    <row r="382">
      <c r="A382" s="8" t="n"/>
      <c r="B382" s="6" t="n"/>
      <c r="C382" s="9" t="n"/>
      <c r="D382" s="9" t="n"/>
      <c r="E382" s="9" t="n"/>
      <c r="F382" s="10">
        <f>IF(A382="","",IF(DAY(A382)&lt;=5,DATE(YEAR(A382),MONTH(A382),5),DATE(YEAR(A382),MONTH(A382)+1,5)))</f>
        <v/>
      </c>
      <c r="G382" s="7">
        <f>IF(B382="","",IFERROR(INDEX(Subcontractors!$E$2:$E$101,MATCH(B382,Subcontractors!$A$2:$A$101,0)),0.3))</f>
        <v/>
      </c>
      <c r="H382" s="11">
        <f>IF(B382="","",ROUND(N(C382)*G382,2))</f>
        <v/>
      </c>
      <c r="I382" s="11">
        <f>IF(B382="","",N(C382)+N(D382)+N(E382)-H382)</f>
        <v/>
      </c>
    </row>
    <row r="383">
      <c r="A383" s="8" t="n"/>
      <c r="B383" s="6" t="n"/>
      <c r="C383" s="9" t="n"/>
      <c r="D383" s="9" t="n"/>
      <c r="E383" s="9" t="n"/>
      <c r="F383" s="10">
        <f>IF(A383="","",IF(DAY(A383)&lt;=5,DATE(YEAR(A383),MONTH(A383),5),DATE(YEAR(A383),MONTH(A383)+1,5)))</f>
        <v/>
      </c>
      <c r="G383" s="7">
        <f>IF(B383="","",IFERROR(INDEX(Subcontractors!$E$2:$E$101,MATCH(B383,Subcontractors!$A$2:$A$101,0)),0.3))</f>
        <v/>
      </c>
      <c r="H383" s="11">
        <f>IF(B383="","",ROUND(N(C383)*G383,2))</f>
        <v/>
      </c>
      <c r="I383" s="11">
        <f>IF(B383="","",N(C383)+N(D383)+N(E383)-H383)</f>
        <v/>
      </c>
    </row>
    <row r="384">
      <c r="A384" s="8" t="n"/>
      <c r="B384" s="6" t="n"/>
      <c r="C384" s="9" t="n"/>
      <c r="D384" s="9" t="n"/>
      <c r="E384" s="9" t="n"/>
      <c r="F384" s="10">
        <f>IF(A384="","",IF(DAY(A384)&lt;=5,DATE(YEAR(A384),MONTH(A384),5),DATE(YEAR(A384),MONTH(A384)+1,5)))</f>
        <v/>
      </c>
      <c r="G384" s="7">
        <f>IF(B384="","",IFERROR(INDEX(Subcontractors!$E$2:$E$101,MATCH(B384,Subcontractors!$A$2:$A$101,0)),0.3))</f>
        <v/>
      </c>
      <c r="H384" s="11">
        <f>IF(B384="","",ROUND(N(C384)*G384,2))</f>
        <v/>
      </c>
      <c r="I384" s="11">
        <f>IF(B384="","",N(C384)+N(D384)+N(E384)-H384)</f>
        <v/>
      </c>
    </row>
    <row r="385">
      <c r="A385" s="8" t="n"/>
      <c r="B385" s="6" t="n"/>
      <c r="C385" s="9" t="n"/>
      <c r="D385" s="9" t="n"/>
      <c r="E385" s="9" t="n"/>
      <c r="F385" s="10">
        <f>IF(A385="","",IF(DAY(A385)&lt;=5,DATE(YEAR(A385),MONTH(A385),5),DATE(YEAR(A385),MONTH(A385)+1,5)))</f>
        <v/>
      </c>
      <c r="G385" s="7">
        <f>IF(B385="","",IFERROR(INDEX(Subcontractors!$E$2:$E$101,MATCH(B385,Subcontractors!$A$2:$A$101,0)),0.3))</f>
        <v/>
      </c>
      <c r="H385" s="11">
        <f>IF(B385="","",ROUND(N(C385)*G385,2))</f>
        <v/>
      </c>
      <c r="I385" s="11">
        <f>IF(B385="","",N(C385)+N(D385)+N(E385)-H385)</f>
        <v/>
      </c>
    </row>
    <row r="386">
      <c r="A386" s="8" t="n"/>
      <c r="B386" s="6" t="n"/>
      <c r="C386" s="9" t="n"/>
      <c r="D386" s="9" t="n"/>
      <c r="E386" s="9" t="n"/>
      <c r="F386" s="10">
        <f>IF(A386="","",IF(DAY(A386)&lt;=5,DATE(YEAR(A386),MONTH(A386),5),DATE(YEAR(A386),MONTH(A386)+1,5)))</f>
        <v/>
      </c>
      <c r="G386" s="7">
        <f>IF(B386="","",IFERROR(INDEX(Subcontractors!$E$2:$E$101,MATCH(B386,Subcontractors!$A$2:$A$101,0)),0.3))</f>
        <v/>
      </c>
      <c r="H386" s="11">
        <f>IF(B386="","",ROUND(N(C386)*G386,2))</f>
        <v/>
      </c>
      <c r="I386" s="11">
        <f>IF(B386="","",N(C386)+N(D386)+N(E386)-H386)</f>
        <v/>
      </c>
    </row>
    <row r="387">
      <c r="A387" s="8" t="n"/>
      <c r="B387" s="6" t="n"/>
      <c r="C387" s="9" t="n"/>
      <c r="D387" s="9" t="n"/>
      <c r="E387" s="9" t="n"/>
      <c r="F387" s="10">
        <f>IF(A387="","",IF(DAY(A387)&lt;=5,DATE(YEAR(A387),MONTH(A387),5),DATE(YEAR(A387),MONTH(A387)+1,5)))</f>
        <v/>
      </c>
      <c r="G387" s="7">
        <f>IF(B387="","",IFERROR(INDEX(Subcontractors!$E$2:$E$101,MATCH(B387,Subcontractors!$A$2:$A$101,0)),0.3))</f>
        <v/>
      </c>
      <c r="H387" s="11">
        <f>IF(B387="","",ROUND(N(C387)*G387,2))</f>
        <v/>
      </c>
      <c r="I387" s="11">
        <f>IF(B387="","",N(C387)+N(D387)+N(E387)-H387)</f>
        <v/>
      </c>
    </row>
    <row r="388">
      <c r="A388" s="8" t="n"/>
      <c r="B388" s="6" t="n"/>
      <c r="C388" s="9" t="n"/>
      <c r="D388" s="9" t="n"/>
      <c r="E388" s="9" t="n"/>
      <c r="F388" s="10">
        <f>IF(A388="","",IF(DAY(A388)&lt;=5,DATE(YEAR(A388),MONTH(A388),5),DATE(YEAR(A388),MONTH(A388)+1,5)))</f>
        <v/>
      </c>
      <c r="G388" s="7">
        <f>IF(B388="","",IFERROR(INDEX(Subcontractors!$E$2:$E$101,MATCH(B388,Subcontractors!$A$2:$A$101,0)),0.3))</f>
        <v/>
      </c>
      <c r="H388" s="11">
        <f>IF(B388="","",ROUND(N(C388)*G388,2))</f>
        <v/>
      </c>
      <c r="I388" s="11">
        <f>IF(B388="","",N(C388)+N(D388)+N(E388)-H388)</f>
        <v/>
      </c>
    </row>
    <row r="389">
      <c r="A389" s="8" t="n"/>
      <c r="B389" s="6" t="n"/>
      <c r="C389" s="9" t="n"/>
      <c r="D389" s="9" t="n"/>
      <c r="E389" s="9" t="n"/>
      <c r="F389" s="10">
        <f>IF(A389="","",IF(DAY(A389)&lt;=5,DATE(YEAR(A389),MONTH(A389),5),DATE(YEAR(A389),MONTH(A389)+1,5)))</f>
        <v/>
      </c>
      <c r="G389" s="7">
        <f>IF(B389="","",IFERROR(INDEX(Subcontractors!$E$2:$E$101,MATCH(B389,Subcontractors!$A$2:$A$101,0)),0.3))</f>
        <v/>
      </c>
      <c r="H389" s="11">
        <f>IF(B389="","",ROUND(N(C389)*G389,2))</f>
        <v/>
      </c>
      <c r="I389" s="11">
        <f>IF(B389="","",N(C389)+N(D389)+N(E389)-H389)</f>
        <v/>
      </c>
    </row>
    <row r="390">
      <c r="A390" s="8" t="n"/>
      <c r="B390" s="6" t="n"/>
      <c r="C390" s="9" t="n"/>
      <c r="D390" s="9" t="n"/>
      <c r="E390" s="9" t="n"/>
      <c r="F390" s="10">
        <f>IF(A390="","",IF(DAY(A390)&lt;=5,DATE(YEAR(A390),MONTH(A390),5),DATE(YEAR(A390),MONTH(A390)+1,5)))</f>
        <v/>
      </c>
      <c r="G390" s="7">
        <f>IF(B390="","",IFERROR(INDEX(Subcontractors!$E$2:$E$101,MATCH(B390,Subcontractors!$A$2:$A$101,0)),0.3))</f>
        <v/>
      </c>
      <c r="H390" s="11">
        <f>IF(B390="","",ROUND(N(C390)*G390,2))</f>
        <v/>
      </c>
      <c r="I390" s="11">
        <f>IF(B390="","",N(C390)+N(D390)+N(E390)-H390)</f>
        <v/>
      </c>
    </row>
    <row r="391">
      <c r="A391" s="8" t="n"/>
      <c r="B391" s="6" t="n"/>
      <c r="C391" s="9" t="n"/>
      <c r="D391" s="9" t="n"/>
      <c r="E391" s="9" t="n"/>
      <c r="F391" s="10">
        <f>IF(A391="","",IF(DAY(A391)&lt;=5,DATE(YEAR(A391),MONTH(A391),5),DATE(YEAR(A391),MONTH(A391)+1,5)))</f>
        <v/>
      </c>
      <c r="G391" s="7">
        <f>IF(B391="","",IFERROR(INDEX(Subcontractors!$E$2:$E$101,MATCH(B391,Subcontractors!$A$2:$A$101,0)),0.3))</f>
        <v/>
      </c>
      <c r="H391" s="11">
        <f>IF(B391="","",ROUND(N(C391)*G391,2))</f>
        <v/>
      </c>
      <c r="I391" s="11">
        <f>IF(B391="","",N(C391)+N(D391)+N(E391)-H391)</f>
        <v/>
      </c>
    </row>
    <row r="392">
      <c r="A392" s="8" t="n"/>
      <c r="B392" s="6" t="n"/>
      <c r="C392" s="9" t="n"/>
      <c r="D392" s="9" t="n"/>
      <c r="E392" s="9" t="n"/>
      <c r="F392" s="10">
        <f>IF(A392="","",IF(DAY(A392)&lt;=5,DATE(YEAR(A392),MONTH(A392),5),DATE(YEAR(A392),MONTH(A392)+1,5)))</f>
        <v/>
      </c>
      <c r="G392" s="7">
        <f>IF(B392="","",IFERROR(INDEX(Subcontractors!$E$2:$E$101,MATCH(B392,Subcontractors!$A$2:$A$101,0)),0.3))</f>
        <v/>
      </c>
      <c r="H392" s="11">
        <f>IF(B392="","",ROUND(N(C392)*G392,2))</f>
        <v/>
      </c>
      <c r="I392" s="11">
        <f>IF(B392="","",N(C392)+N(D392)+N(E392)-H392)</f>
        <v/>
      </c>
    </row>
    <row r="393">
      <c r="A393" s="8" t="n"/>
      <c r="B393" s="6" t="n"/>
      <c r="C393" s="9" t="n"/>
      <c r="D393" s="9" t="n"/>
      <c r="E393" s="9" t="n"/>
      <c r="F393" s="10">
        <f>IF(A393="","",IF(DAY(A393)&lt;=5,DATE(YEAR(A393),MONTH(A393),5),DATE(YEAR(A393),MONTH(A393)+1,5)))</f>
        <v/>
      </c>
      <c r="G393" s="7">
        <f>IF(B393="","",IFERROR(INDEX(Subcontractors!$E$2:$E$101,MATCH(B393,Subcontractors!$A$2:$A$101,0)),0.3))</f>
        <v/>
      </c>
      <c r="H393" s="11">
        <f>IF(B393="","",ROUND(N(C393)*G393,2))</f>
        <v/>
      </c>
      <c r="I393" s="11">
        <f>IF(B393="","",N(C393)+N(D393)+N(E393)-H393)</f>
        <v/>
      </c>
    </row>
    <row r="394">
      <c r="A394" s="8" t="n"/>
      <c r="B394" s="6" t="n"/>
      <c r="C394" s="9" t="n"/>
      <c r="D394" s="9" t="n"/>
      <c r="E394" s="9" t="n"/>
      <c r="F394" s="10">
        <f>IF(A394="","",IF(DAY(A394)&lt;=5,DATE(YEAR(A394),MONTH(A394),5),DATE(YEAR(A394),MONTH(A394)+1,5)))</f>
        <v/>
      </c>
      <c r="G394" s="7">
        <f>IF(B394="","",IFERROR(INDEX(Subcontractors!$E$2:$E$101,MATCH(B394,Subcontractors!$A$2:$A$101,0)),0.3))</f>
        <v/>
      </c>
      <c r="H394" s="11">
        <f>IF(B394="","",ROUND(N(C394)*G394,2))</f>
        <v/>
      </c>
      <c r="I394" s="11">
        <f>IF(B394="","",N(C394)+N(D394)+N(E394)-H394)</f>
        <v/>
      </c>
    </row>
    <row r="395">
      <c r="A395" s="8" t="n"/>
      <c r="B395" s="6" t="n"/>
      <c r="C395" s="9" t="n"/>
      <c r="D395" s="9" t="n"/>
      <c r="E395" s="9" t="n"/>
      <c r="F395" s="10">
        <f>IF(A395="","",IF(DAY(A395)&lt;=5,DATE(YEAR(A395),MONTH(A395),5),DATE(YEAR(A395),MONTH(A395)+1,5)))</f>
        <v/>
      </c>
      <c r="G395" s="7">
        <f>IF(B395="","",IFERROR(INDEX(Subcontractors!$E$2:$E$101,MATCH(B395,Subcontractors!$A$2:$A$101,0)),0.3))</f>
        <v/>
      </c>
      <c r="H395" s="11">
        <f>IF(B395="","",ROUND(N(C395)*G395,2))</f>
        <v/>
      </c>
      <c r="I395" s="11">
        <f>IF(B395="","",N(C395)+N(D395)+N(E395)-H395)</f>
        <v/>
      </c>
    </row>
    <row r="396">
      <c r="A396" s="8" t="n"/>
      <c r="B396" s="6" t="n"/>
      <c r="C396" s="9" t="n"/>
      <c r="D396" s="9" t="n"/>
      <c r="E396" s="9" t="n"/>
      <c r="F396" s="10">
        <f>IF(A396="","",IF(DAY(A396)&lt;=5,DATE(YEAR(A396),MONTH(A396),5),DATE(YEAR(A396),MONTH(A396)+1,5)))</f>
        <v/>
      </c>
      <c r="G396" s="7">
        <f>IF(B396="","",IFERROR(INDEX(Subcontractors!$E$2:$E$101,MATCH(B396,Subcontractors!$A$2:$A$101,0)),0.3))</f>
        <v/>
      </c>
      <c r="H396" s="11">
        <f>IF(B396="","",ROUND(N(C396)*G396,2))</f>
        <v/>
      </c>
      <c r="I396" s="11">
        <f>IF(B396="","",N(C396)+N(D396)+N(E396)-H396)</f>
        <v/>
      </c>
    </row>
    <row r="397">
      <c r="A397" s="8" t="n"/>
      <c r="B397" s="6" t="n"/>
      <c r="C397" s="9" t="n"/>
      <c r="D397" s="9" t="n"/>
      <c r="E397" s="9" t="n"/>
      <c r="F397" s="10">
        <f>IF(A397="","",IF(DAY(A397)&lt;=5,DATE(YEAR(A397),MONTH(A397),5),DATE(YEAR(A397),MONTH(A397)+1,5)))</f>
        <v/>
      </c>
      <c r="G397" s="7">
        <f>IF(B397="","",IFERROR(INDEX(Subcontractors!$E$2:$E$101,MATCH(B397,Subcontractors!$A$2:$A$101,0)),0.3))</f>
        <v/>
      </c>
      <c r="H397" s="11">
        <f>IF(B397="","",ROUND(N(C397)*G397,2))</f>
        <v/>
      </c>
      <c r="I397" s="11">
        <f>IF(B397="","",N(C397)+N(D397)+N(E397)-H397)</f>
        <v/>
      </c>
    </row>
    <row r="398">
      <c r="A398" s="8" t="n"/>
      <c r="B398" s="6" t="n"/>
      <c r="C398" s="9" t="n"/>
      <c r="D398" s="9" t="n"/>
      <c r="E398" s="9" t="n"/>
      <c r="F398" s="10">
        <f>IF(A398="","",IF(DAY(A398)&lt;=5,DATE(YEAR(A398),MONTH(A398),5),DATE(YEAR(A398),MONTH(A398)+1,5)))</f>
        <v/>
      </c>
      <c r="G398" s="7">
        <f>IF(B398="","",IFERROR(INDEX(Subcontractors!$E$2:$E$101,MATCH(B398,Subcontractors!$A$2:$A$101,0)),0.3))</f>
        <v/>
      </c>
      <c r="H398" s="11">
        <f>IF(B398="","",ROUND(N(C398)*G398,2))</f>
        <v/>
      </c>
      <c r="I398" s="11">
        <f>IF(B398="","",N(C398)+N(D398)+N(E398)-H398)</f>
        <v/>
      </c>
    </row>
    <row r="399">
      <c r="A399" s="8" t="n"/>
      <c r="B399" s="6" t="n"/>
      <c r="C399" s="9" t="n"/>
      <c r="D399" s="9" t="n"/>
      <c r="E399" s="9" t="n"/>
      <c r="F399" s="10">
        <f>IF(A399="","",IF(DAY(A399)&lt;=5,DATE(YEAR(A399),MONTH(A399),5),DATE(YEAR(A399),MONTH(A399)+1,5)))</f>
        <v/>
      </c>
      <c r="G399" s="7">
        <f>IF(B399="","",IFERROR(INDEX(Subcontractors!$E$2:$E$101,MATCH(B399,Subcontractors!$A$2:$A$101,0)),0.3))</f>
        <v/>
      </c>
      <c r="H399" s="11">
        <f>IF(B399="","",ROUND(N(C399)*G399,2))</f>
        <v/>
      </c>
      <c r="I399" s="11">
        <f>IF(B399="","",N(C399)+N(D399)+N(E399)-H399)</f>
        <v/>
      </c>
    </row>
    <row r="400">
      <c r="A400" s="8" t="n"/>
      <c r="B400" s="6" t="n"/>
      <c r="C400" s="9" t="n"/>
      <c r="D400" s="9" t="n"/>
      <c r="E400" s="9" t="n"/>
      <c r="F400" s="10">
        <f>IF(A400="","",IF(DAY(A400)&lt;=5,DATE(YEAR(A400),MONTH(A400),5),DATE(YEAR(A400),MONTH(A400)+1,5)))</f>
        <v/>
      </c>
      <c r="G400" s="7">
        <f>IF(B400="","",IFERROR(INDEX(Subcontractors!$E$2:$E$101,MATCH(B400,Subcontractors!$A$2:$A$101,0)),0.3))</f>
        <v/>
      </c>
      <c r="H400" s="11">
        <f>IF(B400="","",ROUND(N(C400)*G400,2))</f>
        <v/>
      </c>
      <c r="I400" s="11">
        <f>IF(B400="","",N(C400)+N(D400)+N(E400)-H400)</f>
        <v/>
      </c>
    </row>
    <row r="401">
      <c r="A401" s="8" t="n"/>
      <c r="B401" s="6" t="n"/>
      <c r="C401" s="9" t="n"/>
      <c r="D401" s="9" t="n"/>
      <c r="E401" s="9" t="n"/>
      <c r="F401" s="10">
        <f>IF(A401="","",IF(DAY(A401)&lt;=5,DATE(YEAR(A401),MONTH(A401),5),DATE(YEAR(A401),MONTH(A401)+1,5)))</f>
        <v/>
      </c>
      <c r="G401" s="7">
        <f>IF(B401="","",IFERROR(INDEX(Subcontractors!$E$2:$E$101,MATCH(B401,Subcontractors!$A$2:$A$101,0)),0.3))</f>
        <v/>
      </c>
      <c r="H401" s="11">
        <f>IF(B401="","",ROUND(N(C401)*G401,2))</f>
        <v/>
      </c>
      <c r="I401" s="11">
        <f>IF(B401="","",N(C401)+N(D401)+N(E401)-H401)</f>
        <v/>
      </c>
    </row>
    <row r="402">
      <c r="A402" s="8" t="n"/>
      <c r="B402" s="6" t="n"/>
      <c r="C402" s="9" t="n"/>
      <c r="D402" s="9" t="n"/>
      <c r="E402" s="9" t="n"/>
      <c r="F402" s="10">
        <f>IF(A402="","",IF(DAY(A402)&lt;=5,DATE(YEAR(A402),MONTH(A402),5),DATE(YEAR(A402),MONTH(A402)+1,5)))</f>
        <v/>
      </c>
      <c r="G402" s="7">
        <f>IF(B402="","",IFERROR(INDEX(Subcontractors!$E$2:$E$101,MATCH(B402,Subcontractors!$A$2:$A$101,0)),0.3))</f>
        <v/>
      </c>
      <c r="H402" s="11">
        <f>IF(B402="","",ROUND(N(C402)*G402,2))</f>
        <v/>
      </c>
      <c r="I402" s="11">
        <f>IF(B402="","",N(C402)+N(D402)+N(E402)-H402)</f>
        <v/>
      </c>
    </row>
    <row r="403">
      <c r="A403" s="8" t="n"/>
      <c r="B403" s="6" t="n"/>
      <c r="C403" s="9" t="n"/>
      <c r="D403" s="9" t="n"/>
      <c r="E403" s="9" t="n"/>
      <c r="F403" s="10">
        <f>IF(A403="","",IF(DAY(A403)&lt;=5,DATE(YEAR(A403),MONTH(A403),5),DATE(YEAR(A403),MONTH(A403)+1,5)))</f>
        <v/>
      </c>
      <c r="G403" s="7">
        <f>IF(B403="","",IFERROR(INDEX(Subcontractors!$E$2:$E$101,MATCH(B403,Subcontractors!$A$2:$A$101,0)),0.3))</f>
        <v/>
      </c>
      <c r="H403" s="11">
        <f>IF(B403="","",ROUND(N(C403)*G403,2))</f>
        <v/>
      </c>
      <c r="I403" s="11">
        <f>IF(B403="","",N(C403)+N(D403)+N(E403)-H403)</f>
        <v/>
      </c>
    </row>
    <row r="404">
      <c r="A404" s="8" t="n"/>
      <c r="B404" s="6" t="n"/>
      <c r="C404" s="9" t="n"/>
      <c r="D404" s="9" t="n"/>
      <c r="E404" s="9" t="n"/>
      <c r="F404" s="10">
        <f>IF(A404="","",IF(DAY(A404)&lt;=5,DATE(YEAR(A404),MONTH(A404),5),DATE(YEAR(A404),MONTH(A404)+1,5)))</f>
        <v/>
      </c>
      <c r="G404" s="7">
        <f>IF(B404="","",IFERROR(INDEX(Subcontractors!$E$2:$E$101,MATCH(B404,Subcontractors!$A$2:$A$101,0)),0.3))</f>
        <v/>
      </c>
      <c r="H404" s="11">
        <f>IF(B404="","",ROUND(N(C404)*G404,2))</f>
        <v/>
      </c>
      <c r="I404" s="11">
        <f>IF(B404="","",N(C404)+N(D404)+N(E404)-H404)</f>
        <v/>
      </c>
    </row>
    <row r="405">
      <c r="A405" s="8" t="n"/>
      <c r="B405" s="6" t="n"/>
      <c r="C405" s="9" t="n"/>
      <c r="D405" s="9" t="n"/>
      <c r="E405" s="9" t="n"/>
      <c r="F405" s="10">
        <f>IF(A405="","",IF(DAY(A405)&lt;=5,DATE(YEAR(A405),MONTH(A405),5),DATE(YEAR(A405),MONTH(A405)+1,5)))</f>
        <v/>
      </c>
      <c r="G405" s="7">
        <f>IF(B405="","",IFERROR(INDEX(Subcontractors!$E$2:$E$101,MATCH(B405,Subcontractors!$A$2:$A$101,0)),0.3))</f>
        <v/>
      </c>
      <c r="H405" s="11">
        <f>IF(B405="","",ROUND(N(C405)*G405,2))</f>
        <v/>
      </c>
      <c r="I405" s="11">
        <f>IF(B405="","",N(C405)+N(D405)+N(E405)-H405)</f>
        <v/>
      </c>
    </row>
    <row r="406">
      <c r="A406" s="8" t="n"/>
      <c r="B406" s="6" t="n"/>
      <c r="C406" s="9" t="n"/>
      <c r="D406" s="9" t="n"/>
      <c r="E406" s="9" t="n"/>
      <c r="F406" s="10">
        <f>IF(A406="","",IF(DAY(A406)&lt;=5,DATE(YEAR(A406),MONTH(A406),5),DATE(YEAR(A406),MONTH(A406)+1,5)))</f>
        <v/>
      </c>
      <c r="G406" s="7">
        <f>IF(B406="","",IFERROR(INDEX(Subcontractors!$E$2:$E$101,MATCH(B406,Subcontractors!$A$2:$A$101,0)),0.3))</f>
        <v/>
      </c>
      <c r="H406" s="11">
        <f>IF(B406="","",ROUND(N(C406)*G406,2))</f>
        <v/>
      </c>
      <c r="I406" s="11">
        <f>IF(B406="","",N(C406)+N(D406)+N(E406)-H406)</f>
        <v/>
      </c>
    </row>
    <row r="407">
      <c r="A407" s="8" t="n"/>
      <c r="B407" s="6" t="n"/>
      <c r="C407" s="9" t="n"/>
      <c r="D407" s="9" t="n"/>
      <c r="E407" s="9" t="n"/>
      <c r="F407" s="10">
        <f>IF(A407="","",IF(DAY(A407)&lt;=5,DATE(YEAR(A407),MONTH(A407),5),DATE(YEAR(A407),MONTH(A407)+1,5)))</f>
        <v/>
      </c>
      <c r="G407" s="7">
        <f>IF(B407="","",IFERROR(INDEX(Subcontractors!$E$2:$E$101,MATCH(B407,Subcontractors!$A$2:$A$101,0)),0.3))</f>
        <v/>
      </c>
      <c r="H407" s="11">
        <f>IF(B407="","",ROUND(N(C407)*G407,2))</f>
        <v/>
      </c>
      <c r="I407" s="11">
        <f>IF(B407="","",N(C407)+N(D407)+N(E407)-H407)</f>
        <v/>
      </c>
    </row>
    <row r="408">
      <c r="A408" s="8" t="n"/>
      <c r="B408" s="6" t="n"/>
      <c r="C408" s="9" t="n"/>
      <c r="D408" s="9" t="n"/>
      <c r="E408" s="9" t="n"/>
      <c r="F408" s="10">
        <f>IF(A408="","",IF(DAY(A408)&lt;=5,DATE(YEAR(A408),MONTH(A408),5),DATE(YEAR(A408),MONTH(A408)+1,5)))</f>
        <v/>
      </c>
      <c r="G408" s="7">
        <f>IF(B408="","",IFERROR(INDEX(Subcontractors!$E$2:$E$101,MATCH(B408,Subcontractors!$A$2:$A$101,0)),0.3))</f>
        <v/>
      </c>
      <c r="H408" s="11">
        <f>IF(B408="","",ROUND(N(C408)*G408,2))</f>
        <v/>
      </c>
      <c r="I408" s="11">
        <f>IF(B408="","",N(C408)+N(D408)+N(E408)-H408)</f>
        <v/>
      </c>
    </row>
    <row r="409">
      <c r="A409" s="8" t="n"/>
      <c r="B409" s="6" t="n"/>
      <c r="C409" s="9" t="n"/>
      <c r="D409" s="9" t="n"/>
      <c r="E409" s="9" t="n"/>
      <c r="F409" s="10">
        <f>IF(A409="","",IF(DAY(A409)&lt;=5,DATE(YEAR(A409),MONTH(A409),5),DATE(YEAR(A409),MONTH(A409)+1,5)))</f>
        <v/>
      </c>
      <c r="G409" s="7">
        <f>IF(B409="","",IFERROR(INDEX(Subcontractors!$E$2:$E$101,MATCH(B409,Subcontractors!$A$2:$A$101,0)),0.3))</f>
        <v/>
      </c>
      <c r="H409" s="11">
        <f>IF(B409="","",ROUND(N(C409)*G409,2))</f>
        <v/>
      </c>
      <c r="I409" s="11">
        <f>IF(B409="","",N(C409)+N(D409)+N(E409)-H409)</f>
        <v/>
      </c>
    </row>
    <row r="410">
      <c r="A410" s="8" t="n"/>
      <c r="B410" s="6" t="n"/>
      <c r="C410" s="9" t="n"/>
      <c r="D410" s="9" t="n"/>
      <c r="E410" s="9" t="n"/>
      <c r="F410" s="10">
        <f>IF(A410="","",IF(DAY(A410)&lt;=5,DATE(YEAR(A410),MONTH(A410),5),DATE(YEAR(A410),MONTH(A410)+1,5)))</f>
        <v/>
      </c>
      <c r="G410" s="7">
        <f>IF(B410="","",IFERROR(INDEX(Subcontractors!$E$2:$E$101,MATCH(B410,Subcontractors!$A$2:$A$101,0)),0.3))</f>
        <v/>
      </c>
      <c r="H410" s="11">
        <f>IF(B410="","",ROUND(N(C410)*G410,2))</f>
        <v/>
      </c>
      <c r="I410" s="11">
        <f>IF(B410="","",N(C410)+N(D410)+N(E410)-H410)</f>
        <v/>
      </c>
    </row>
    <row r="411">
      <c r="A411" s="8" t="n"/>
      <c r="B411" s="6" t="n"/>
      <c r="C411" s="9" t="n"/>
      <c r="D411" s="9" t="n"/>
      <c r="E411" s="9" t="n"/>
      <c r="F411" s="10">
        <f>IF(A411="","",IF(DAY(A411)&lt;=5,DATE(YEAR(A411),MONTH(A411),5),DATE(YEAR(A411),MONTH(A411)+1,5)))</f>
        <v/>
      </c>
      <c r="G411" s="7">
        <f>IF(B411="","",IFERROR(INDEX(Subcontractors!$E$2:$E$101,MATCH(B411,Subcontractors!$A$2:$A$101,0)),0.3))</f>
        <v/>
      </c>
      <c r="H411" s="11">
        <f>IF(B411="","",ROUND(N(C411)*G411,2))</f>
        <v/>
      </c>
      <c r="I411" s="11">
        <f>IF(B411="","",N(C411)+N(D411)+N(E411)-H411)</f>
        <v/>
      </c>
    </row>
    <row r="412">
      <c r="A412" s="8" t="n"/>
      <c r="B412" s="6" t="n"/>
      <c r="C412" s="9" t="n"/>
      <c r="D412" s="9" t="n"/>
      <c r="E412" s="9" t="n"/>
      <c r="F412" s="10">
        <f>IF(A412="","",IF(DAY(A412)&lt;=5,DATE(YEAR(A412),MONTH(A412),5),DATE(YEAR(A412),MONTH(A412)+1,5)))</f>
        <v/>
      </c>
      <c r="G412" s="7">
        <f>IF(B412="","",IFERROR(INDEX(Subcontractors!$E$2:$E$101,MATCH(B412,Subcontractors!$A$2:$A$101,0)),0.3))</f>
        <v/>
      </c>
      <c r="H412" s="11">
        <f>IF(B412="","",ROUND(N(C412)*G412,2))</f>
        <v/>
      </c>
      <c r="I412" s="11">
        <f>IF(B412="","",N(C412)+N(D412)+N(E412)-H412)</f>
        <v/>
      </c>
    </row>
    <row r="413">
      <c r="A413" s="8" t="n"/>
      <c r="B413" s="6" t="n"/>
      <c r="C413" s="9" t="n"/>
      <c r="D413" s="9" t="n"/>
      <c r="E413" s="9" t="n"/>
      <c r="F413" s="10">
        <f>IF(A413="","",IF(DAY(A413)&lt;=5,DATE(YEAR(A413),MONTH(A413),5),DATE(YEAR(A413),MONTH(A413)+1,5)))</f>
        <v/>
      </c>
      <c r="G413" s="7">
        <f>IF(B413="","",IFERROR(INDEX(Subcontractors!$E$2:$E$101,MATCH(B413,Subcontractors!$A$2:$A$101,0)),0.3))</f>
        <v/>
      </c>
      <c r="H413" s="11">
        <f>IF(B413="","",ROUND(N(C413)*G413,2))</f>
        <v/>
      </c>
      <c r="I413" s="11">
        <f>IF(B413="","",N(C413)+N(D413)+N(E413)-H413)</f>
        <v/>
      </c>
    </row>
    <row r="414">
      <c r="A414" s="8" t="n"/>
      <c r="B414" s="6" t="n"/>
      <c r="C414" s="9" t="n"/>
      <c r="D414" s="9" t="n"/>
      <c r="E414" s="9" t="n"/>
      <c r="F414" s="10">
        <f>IF(A414="","",IF(DAY(A414)&lt;=5,DATE(YEAR(A414),MONTH(A414),5),DATE(YEAR(A414),MONTH(A414)+1,5)))</f>
        <v/>
      </c>
      <c r="G414" s="7">
        <f>IF(B414="","",IFERROR(INDEX(Subcontractors!$E$2:$E$101,MATCH(B414,Subcontractors!$A$2:$A$101,0)),0.3))</f>
        <v/>
      </c>
      <c r="H414" s="11">
        <f>IF(B414="","",ROUND(N(C414)*G414,2))</f>
        <v/>
      </c>
      <c r="I414" s="11">
        <f>IF(B414="","",N(C414)+N(D414)+N(E414)-H414)</f>
        <v/>
      </c>
    </row>
    <row r="415">
      <c r="A415" s="8" t="n"/>
      <c r="B415" s="6" t="n"/>
      <c r="C415" s="9" t="n"/>
      <c r="D415" s="9" t="n"/>
      <c r="E415" s="9" t="n"/>
      <c r="F415" s="10">
        <f>IF(A415="","",IF(DAY(A415)&lt;=5,DATE(YEAR(A415),MONTH(A415),5),DATE(YEAR(A415),MONTH(A415)+1,5)))</f>
        <v/>
      </c>
      <c r="G415" s="7">
        <f>IF(B415="","",IFERROR(INDEX(Subcontractors!$E$2:$E$101,MATCH(B415,Subcontractors!$A$2:$A$101,0)),0.3))</f>
        <v/>
      </c>
      <c r="H415" s="11">
        <f>IF(B415="","",ROUND(N(C415)*G415,2))</f>
        <v/>
      </c>
      <c r="I415" s="11">
        <f>IF(B415="","",N(C415)+N(D415)+N(E415)-H415)</f>
        <v/>
      </c>
    </row>
    <row r="416">
      <c r="A416" s="8" t="n"/>
      <c r="B416" s="6" t="n"/>
      <c r="C416" s="9" t="n"/>
      <c r="D416" s="9" t="n"/>
      <c r="E416" s="9" t="n"/>
      <c r="F416" s="10">
        <f>IF(A416="","",IF(DAY(A416)&lt;=5,DATE(YEAR(A416),MONTH(A416),5),DATE(YEAR(A416),MONTH(A416)+1,5)))</f>
        <v/>
      </c>
      <c r="G416" s="7">
        <f>IF(B416="","",IFERROR(INDEX(Subcontractors!$E$2:$E$101,MATCH(B416,Subcontractors!$A$2:$A$101,0)),0.3))</f>
        <v/>
      </c>
      <c r="H416" s="11">
        <f>IF(B416="","",ROUND(N(C416)*G416,2))</f>
        <v/>
      </c>
      <c r="I416" s="11">
        <f>IF(B416="","",N(C416)+N(D416)+N(E416)-H416)</f>
        <v/>
      </c>
    </row>
    <row r="417">
      <c r="A417" s="8" t="n"/>
      <c r="B417" s="6" t="n"/>
      <c r="C417" s="9" t="n"/>
      <c r="D417" s="9" t="n"/>
      <c r="E417" s="9" t="n"/>
      <c r="F417" s="10">
        <f>IF(A417="","",IF(DAY(A417)&lt;=5,DATE(YEAR(A417),MONTH(A417),5),DATE(YEAR(A417),MONTH(A417)+1,5)))</f>
        <v/>
      </c>
      <c r="G417" s="7">
        <f>IF(B417="","",IFERROR(INDEX(Subcontractors!$E$2:$E$101,MATCH(B417,Subcontractors!$A$2:$A$101,0)),0.3))</f>
        <v/>
      </c>
      <c r="H417" s="11">
        <f>IF(B417="","",ROUND(N(C417)*G417,2))</f>
        <v/>
      </c>
      <c r="I417" s="11">
        <f>IF(B417="","",N(C417)+N(D417)+N(E417)-H417)</f>
        <v/>
      </c>
    </row>
    <row r="418">
      <c r="A418" s="8" t="n"/>
      <c r="B418" s="6" t="n"/>
      <c r="C418" s="9" t="n"/>
      <c r="D418" s="9" t="n"/>
      <c r="E418" s="9" t="n"/>
      <c r="F418" s="10">
        <f>IF(A418="","",IF(DAY(A418)&lt;=5,DATE(YEAR(A418),MONTH(A418),5),DATE(YEAR(A418),MONTH(A418)+1,5)))</f>
        <v/>
      </c>
      <c r="G418" s="7">
        <f>IF(B418="","",IFERROR(INDEX(Subcontractors!$E$2:$E$101,MATCH(B418,Subcontractors!$A$2:$A$101,0)),0.3))</f>
        <v/>
      </c>
      <c r="H418" s="11">
        <f>IF(B418="","",ROUND(N(C418)*G418,2))</f>
        <v/>
      </c>
      <c r="I418" s="11">
        <f>IF(B418="","",N(C418)+N(D418)+N(E418)-H418)</f>
        <v/>
      </c>
    </row>
    <row r="419">
      <c r="A419" s="8" t="n"/>
      <c r="B419" s="6" t="n"/>
      <c r="C419" s="9" t="n"/>
      <c r="D419" s="9" t="n"/>
      <c r="E419" s="9" t="n"/>
      <c r="F419" s="10">
        <f>IF(A419="","",IF(DAY(A419)&lt;=5,DATE(YEAR(A419),MONTH(A419),5),DATE(YEAR(A419),MONTH(A419)+1,5)))</f>
        <v/>
      </c>
      <c r="G419" s="7">
        <f>IF(B419="","",IFERROR(INDEX(Subcontractors!$E$2:$E$101,MATCH(B419,Subcontractors!$A$2:$A$101,0)),0.3))</f>
        <v/>
      </c>
      <c r="H419" s="11">
        <f>IF(B419="","",ROUND(N(C419)*G419,2))</f>
        <v/>
      </c>
      <c r="I419" s="11">
        <f>IF(B419="","",N(C419)+N(D419)+N(E419)-H419)</f>
        <v/>
      </c>
    </row>
    <row r="420">
      <c r="A420" s="8" t="n"/>
      <c r="B420" s="6" t="n"/>
      <c r="C420" s="9" t="n"/>
      <c r="D420" s="9" t="n"/>
      <c r="E420" s="9" t="n"/>
      <c r="F420" s="10">
        <f>IF(A420="","",IF(DAY(A420)&lt;=5,DATE(YEAR(A420),MONTH(A420),5),DATE(YEAR(A420),MONTH(A420)+1,5)))</f>
        <v/>
      </c>
      <c r="G420" s="7">
        <f>IF(B420="","",IFERROR(INDEX(Subcontractors!$E$2:$E$101,MATCH(B420,Subcontractors!$A$2:$A$101,0)),0.3))</f>
        <v/>
      </c>
      <c r="H420" s="11">
        <f>IF(B420="","",ROUND(N(C420)*G420,2))</f>
        <v/>
      </c>
      <c r="I420" s="11">
        <f>IF(B420="","",N(C420)+N(D420)+N(E420)-H420)</f>
        <v/>
      </c>
    </row>
    <row r="421">
      <c r="A421" s="8" t="n"/>
      <c r="B421" s="6" t="n"/>
      <c r="C421" s="9" t="n"/>
      <c r="D421" s="9" t="n"/>
      <c r="E421" s="9" t="n"/>
      <c r="F421" s="10">
        <f>IF(A421="","",IF(DAY(A421)&lt;=5,DATE(YEAR(A421),MONTH(A421),5),DATE(YEAR(A421),MONTH(A421)+1,5)))</f>
        <v/>
      </c>
      <c r="G421" s="7">
        <f>IF(B421="","",IFERROR(INDEX(Subcontractors!$E$2:$E$101,MATCH(B421,Subcontractors!$A$2:$A$101,0)),0.3))</f>
        <v/>
      </c>
      <c r="H421" s="11">
        <f>IF(B421="","",ROUND(N(C421)*G421,2))</f>
        <v/>
      </c>
      <c r="I421" s="11">
        <f>IF(B421="","",N(C421)+N(D421)+N(E421)-H421)</f>
        <v/>
      </c>
    </row>
    <row r="422">
      <c r="A422" s="8" t="n"/>
      <c r="B422" s="6" t="n"/>
      <c r="C422" s="9" t="n"/>
      <c r="D422" s="9" t="n"/>
      <c r="E422" s="9" t="n"/>
      <c r="F422" s="10">
        <f>IF(A422="","",IF(DAY(A422)&lt;=5,DATE(YEAR(A422),MONTH(A422),5),DATE(YEAR(A422),MONTH(A422)+1,5)))</f>
        <v/>
      </c>
      <c r="G422" s="7">
        <f>IF(B422="","",IFERROR(INDEX(Subcontractors!$E$2:$E$101,MATCH(B422,Subcontractors!$A$2:$A$101,0)),0.3))</f>
        <v/>
      </c>
      <c r="H422" s="11">
        <f>IF(B422="","",ROUND(N(C422)*G422,2))</f>
        <v/>
      </c>
      <c r="I422" s="11">
        <f>IF(B422="","",N(C422)+N(D422)+N(E422)-H422)</f>
        <v/>
      </c>
    </row>
    <row r="423">
      <c r="A423" s="8" t="n"/>
      <c r="B423" s="6" t="n"/>
      <c r="C423" s="9" t="n"/>
      <c r="D423" s="9" t="n"/>
      <c r="E423" s="9" t="n"/>
      <c r="F423" s="10">
        <f>IF(A423="","",IF(DAY(A423)&lt;=5,DATE(YEAR(A423),MONTH(A423),5),DATE(YEAR(A423),MONTH(A423)+1,5)))</f>
        <v/>
      </c>
      <c r="G423" s="7">
        <f>IF(B423="","",IFERROR(INDEX(Subcontractors!$E$2:$E$101,MATCH(B423,Subcontractors!$A$2:$A$101,0)),0.3))</f>
        <v/>
      </c>
      <c r="H423" s="11">
        <f>IF(B423="","",ROUND(N(C423)*G423,2))</f>
        <v/>
      </c>
      <c r="I423" s="11">
        <f>IF(B423="","",N(C423)+N(D423)+N(E423)-H423)</f>
        <v/>
      </c>
    </row>
    <row r="424">
      <c r="A424" s="8" t="n"/>
      <c r="B424" s="6" t="n"/>
      <c r="C424" s="9" t="n"/>
      <c r="D424" s="9" t="n"/>
      <c r="E424" s="9" t="n"/>
      <c r="F424" s="10">
        <f>IF(A424="","",IF(DAY(A424)&lt;=5,DATE(YEAR(A424),MONTH(A424),5),DATE(YEAR(A424),MONTH(A424)+1,5)))</f>
        <v/>
      </c>
      <c r="G424" s="7">
        <f>IF(B424="","",IFERROR(INDEX(Subcontractors!$E$2:$E$101,MATCH(B424,Subcontractors!$A$2:$A$101,0)),0.3))</f>
        <v/>
      </c>
      <c r="H424" s="11">
        <f>IF(B424="","",ROUND(N(C424)*G424,2))</f>
        <v/>
      </c>
      <c r="I424" s="11">
        <f>IF(B424="","",N(C424)+N(D424)+N(E424)-H424)</f>
        <v/>
      </c>
    </row>
    <row r="425">
      <c r="A425" s="8" t="n"/>
      <c r="B425" s="6" t="n"/>
      <c r="C425" s="9" t="n"/>
      <c r="D425" s="9" t="n"/>
      <c r="E425" s="9" t="n"/>
      <c r="F425" s="10">
        <f>IF(A425="","",IF(DAY(A425)&lt;=5,DATE(YEAR(A425),MONTH(A425),5),DATE(YEAR(A425),MONTH(A425)+1,5)))</f>
        <v/>
      </c>
      <c r="G425" s="7">
        <f>IF(B425="","",IFERROR(INDEX(Subcontractors!$E$2:$E$101,MATCH(B425,Subcontractors!$A$2:$A$101,0)),0.3))</f>
        <v/>
      </c>
      <c r="H425" s="11">
        <f>IF(B425="","",ROUND(N(C425)*G425,2))</f>
        <v/>
      </c>
      <c r="I425" s="11">
        <f>IF(B425="","",N(C425)+N(D425)+N(E425)-H425)</f>
        <v/>
      </c>
    </row>
    <row r="426">
      <c r="A426" s="8" t="n"/>
      <c r="B426" s="6" t="n"/>
      <c r="C426" s="9" t="n"/>
      <c r="D426" s="9" t="n"/>
      <c r="E426" s="9" t="n"/>
      <c r="F426" s="10">
        <f>IF(A426="","",IF(DAY(A426)&lt;=5,DATE(YEAR(A426),MONTH(A426),5),DATE(YEAR(A426),MONTH(A426)+1,5)))</f>
        <v/>
      </c>
      <c r="G426" s="7">
        <f>IF(B426="","",IFERROR(INDEX(Subcontractors!$E$2:$E$101,MATCH(B426,Subcontractors!$A$2:$A$101,0)),0.3))</f>
        <v/>
      </c>
      <c r="H426" s="11">
        <f>IF(B426="","",ROUND(N(C426)*G426,2))</f>
        <v/>
      </c>
      <c r="I426" s="11">
        <f>IF(B426="","",N(C426)+N(D426)+N(E426)-H426)</f>
        <v/>
      </c>
    </row>
    <row r="427">
      <c r="A427" s="8" t="n"/>
      <c r="B427" s="6" t="n"/>
      <c r="C427" s="9" t="n"/>
      <c r="D427" s="9" t="n"/>
      <c r="E427" s="9" t="n"/>
      <c r="F427" s="10">
        <f>IF(A427="","",IF(DAY(A427)&lt;=5,DATE(YEAR(A427),MONTH(A427),5),DATE(YEAR(A427),MONTH(A427)+1,5)))</f>
        <v/>
      </c>
      <c r="G427" s="7">
        <f>IF(B427="","",IFERROR(INDEX(Subcontractors!$E$2:$E$101,MATCH(B427,Subcontractors!$A$2:$A$101,0)),0.3))</f>
        <v/>
      </c>
      <c r="H427" s="11">
        <f>IF(B427="","",ROUND(N(C427)*G427,2))</f>
        <v/>
      </c>
      <c r="I427" s="11">
        <f>IF(B427="","",N(C427)+N(D427)+N(E427)-H427)</f>
        <v/>
      </c>
    </row>
    <row r="428">
      <c r="A428" s="8" t="n"/>
      <c r="B428" s="6" t="n"/>
      <c r="C428" s="9" t="n"/>
      <c r="D428" s="9" t="n"/>
      <c r="E428" s="9" t="n"/>
      <c r="F428" s="10">
        <f>IF(A428="","",IF(DAY(A428)&lt;=5,DATE(YEAR(A428),MONTH(A428),5),DATE(YEAR(A428),MONTH(A428)+1,5)))</f>
        <v/>
      </c>
      <c r="G428" s="7">
        <f>IF(B428="","",IFERROR(INDEX(Subcontractors!$E$2:$E$101,MATCH(B428,Subcontractors!$A$2:$A$101,0)),0.3))</f>
        <v/>
      </c>
      <c r="H428" s="11">
        <f>IF(B428="","",ROUND(N(C428)*G428,2))</f>
        <v/>
      </c>
      <c r="I428" s="11">
        <f>IF(B428="","",N(C428)+N(D428)+N(E428)-H428)</f>
        <v/>
      </c>
    </row>
    <row r="429">
      <c r="A429" s="8" t="n"/>
      <c r="B429" s="6" t="n"/>
      <c r="C429" s="9" t="n"/>
      <c r="D429" s="9" t="n"/>
      <c r="E429" s="9" t="n"/>
      <c r="F429" s="10">
        <f>IF(A429="","",IF(DAY(A429)&lt;=5,DATE(YEAR(A429),MONTH(A429),5),DATE(YEAR(A429),MONTH(A429)+1,5)))</f>
        <v/>
      </c>
      <c r="G429" s="7">
        <f>IF(B429="","",IFERROR(INDEX(Subcontractors!$E$2:$E$101,MATCH(B429,Subcontractors!$A$2:$A$101,0)),0.3))</f>
        <v/>
      </c>
      <c r="H429" s="11">
        <f>IF(B429="","",ROUND(N(C429)*G429,2))</f>
        <v/>
      </c>
      <c r="I429" s="11">
        <f>IF(B429="","",N(C429)+N(D429)+N(E429)-H429)</f>
        <v/>
      </c>
    </row>
    <row r="430">
      <c r="A430" s="8" t="n"/>
      <c r="B430" s="6" t="n"/>
      <c r="C430" s="9" t="n"/>
      <c r="D430" s="9" t="n"/>
      <c r="E430" s="9" t="n"/>
      <c r="F430" s="10">
        <f>IF(A430="","",IF(DAY(A430)&lt;=5,DATE(YEAR(A430),MONTH(A430),5),DATE(YEAR(A430),MONTH(A430)+1,5)))</f>
        <v/>
      </c>
      <c r="G430" s="7">
        <f>IF(B430="","",IFERROR(INDEX(Subcontractors!$E$2:$E$101,MATCH(B430,Subcontractors!$A$2:$A$101,0)),0.3))</f>
        <v/>
      </c>
      <c r="H430" s="11">
        <f>IF(B430="","",ROUND(N(C430)*G430,2))</f>
        <v/>
      </c>
      <c r="I430" s="11">
        <f>IF(B430="","",N(C430)+N(D430)+N(E430)-H430)</f>
        <v/>
      </c>
    </row>
    <row r="431">
      <c r="A431" s="8" t="n"/>
      <c r="B431" s="6" t="n"/>
      <c r="C431" s="9" t="n"/>
      <c r="D431" s="9" t="n"/>
      <c r="E431" s="9" t="n"/>
      <c r="F431" s="10">
        <f>IF(A431="","",IF(DAY(A431)&lt;=5,DATE(YEAR(A431),MONTH(A431),5),DATE(YEAR(A431),MONTH(A431)+1,5)))</f>
        <v/>
      </c>
      <c r="G431" s="7">
        <f>IF(B431="","",IFERROR(INDEX(Subcontractors!$E$2:$E$101,MATCH(B431,Subcontractors!$A$2:$A$101,0)),0.3))</f>
        <v/>
      </c>
      <c r="H431" s="11">
        <f>IF(B431="","",ROUND(N(C431)*G431,2))</f>
        <v/>
      </c>
      <c r="I431" s="11">
        <f>IF(B431="","",N(C431)+N(D431)+N(E431)-H431)</f>
        <v/>
      </c>
    </row>
    <row r="432">
      <c r="A432" s="8" t="n"/>
      <c r="B432" s="6" t="n"/>
      <c r="C432" s="9" t="n"/>
      <c r="D432" s="9" t="n"/>
      <c r="E432" s="9" t="n"/>
      <c r="F432" s="10">
        <f>IF(A432="","",IF(DAY(A432)&lt;=5,DATE(YEAR(A432),MONTH(A432),5),DATE(YEAR(A432),MONTH(A432)+1,5)))</f>
        <v/>
      </c>
      <c r="G432" s="7">
        <f>IF(B432="","",IFERROR(INDEX(Subcontractors!$E$2:$E$101,MATCH(B432,Subcontractors!$A$2:$A$101,0)),0.3))</f>
        <v/>
      </c>
      <c r="H432" s="11">
        <f>IF(B432="","",ROUND(N(C432)*G432,2))</f>
        <v/>
      </c>
      <c r="I432" s="11">
        <f>IF(B432="","",N(C432)+N(D432)+N(E432)-H432)</f>
        <v/>
      </c>
    </row>
    <row r="433">
      <c r="A433" s="8" t="n"/>
      <c r="B433" s="6" t="n"/>
      <c r="C433" s="9" t="n"/>
      <c r="D433" s="9" t="n"/>
      <c r="E433" s="9" t="n"/>
      <c r="F433" s="10">
        <f>IF(A433="","",IF(DAY(A433)&lt;=5,DATE(YEAR(A433),MONTH(A433),5),DATE(YEAR(A433),MONTH(A433)+1,5)))</f>
        <v/>
      </c>
      <c r="G433" s="7">
        <f>IF(B433="","",IFERROR(INDEX(Subcontractors!$E$2:$E$101,MATCH(B433,Subcontractors!$A$2:$A$101,0)),0.3))</f>
        <v/>
      </c>
      <c r="H433" s="11">
        <f>IF(B433="","",ROUND(N(C433)*G433,2))</f>
        <v/>
      </c>
      <c r="I433" s="11">
        <f>IF(B433="","",N(C433)+N(D433)+N(E433)-H433)</f>
        <v/>
      </c>
    </row>
    <row r="434">
      <c r="A434" s="8" t="n"/>
      <c r="B434" s="6" t="n"/>
      <c r="C434" s="9" t="n"/>
      <c r="D434" s="9" t="n"/>
      <c r="E434" s="9" t="n"/>
      <c r="F434" s="10">
        <f>IF(A434="","",IF(DAY(A434)&lt;=5,DATE(YEAR(A434),MONTH(A434),5),DATE(YEAR(A434),MONTH(A434)+1,5)))</f>
        <v/>
      </c>
      <c r="G434" s="7">
        <f>IF(B434="","",IFERROR(INDEX(Subcontractors!$E$2:$E$101,MATCH(B434,Subcontractors!$A$2:$A$101,0)),0.3))</f>
        <v/>
      </c>
      <c r="H434" s="11">
        <f>IF(B434="","",ROUND(N(C434)*G434,2))</f>
        <v/>
      </c>
      <c r="I434" s="11">
        <f>IF(B434="","",N(C434)+N(D434)+N(E434)-H434)</f>
        <v/>
      </c>
    </row>
    <row r="435">
      <c r="A435" s="8" t="n"/>
      <c r="B435" s="6" t="n"/>
      <c r="C435" s="9" t="n"/>
      <c r="D435" s="9" t="n"/>
      <c r="E435" s="9" t="n"/>
      <c r="F435" s="10">
        <f>IF(A435="","",IF(DAY(A435)&lt;=5,DATE(YEAR(A435),MONTH(A435),5),DATE(YEAR(A435),MONTH(A435)+1,5)))</f>
        <v/>
      </c>
      <c r="G435" s="7">
        <f>IF(B435="","",IFERROR(INDEX(Subcontractors!$E$2:$E$101,MATCH(B435,Subcontractors!$A$2:$A$101,0)),0.3))</f>
        <v/>
      </c>
      <c r="H435" s="11">
        <f>IF(B435="","",ROUND(N(C435)*G435,2))</f>
        <v/>
      </c>
      <c r="I435" s="11">
        <f>IF(B435="","",N(C435)+N(D435)+N(E435)-H435)</f>
        <v/>
      </c>
    </row>
    <row r="436">
      <c r="A436" s="8" t="n"/>
      <c r="B436" s="6" t="n"/>
      <c r="C436" s="9" t="n"/>
      <c r="D436" s="9" t="n"/>
      <c r="E436" s="9" t="n"/>
      <c r="F436" s="10">
        <f>IF(A436="","",IF(DAY(A436)&lt;=5,DATE(YEAR(A436),MONTH(A436),5),DATE(YEAR(A436),MONTH(A436)+1,5)))</f>
        <v/>
      </c>
      <c r="G436" s="7">
        <f>IF(B436="","",IFERROR(INDEX(Subcontractors!$E$2:$E$101,MATCH(B436,Subcontractors!$A$2:$A$101,0)),0.3))</f>
        <v/>
      </c>
      <c r="H436" s="11">
        <f>IF(B436="","",ROUND(N(C436)*G436,2))</f>
        <v/>
      </c>
      <c r="I436" s="11">
        <f>IF(B436="","",N(C436)+N(D436)+N(E436)-H436)</f>
        <v/>
      </c>
    </row>
    <row r="437">
      <c r="A437" s="8" t="n"/>
      <c r="B437" s="6" t="n"/>
      <c r="C437" s="9" t="n"/>
      <c r="D437" s="9" t="n"/>
      <c r="E437" s="9" t="n"/>
      <c r="F437" s="10">
        <f>IF(A437="","",IF(DAY(A437)&lt;=5,DATE(YEAR(A437),MONTH(A437),5),DATE(YEAR(A437),MONTH(A437)+1,5)))</f>
        <v/>
      </c>
      <c r="G437" s="7">
        <f>IF(B437="","",IFERROR(INDEX(Subcontractors!$E$2:$E$101,MATCH(B437,Subcontractors!$A$2:$A$101,0)),0.3))</f>
        <v/>
      </c>
      <c r="H437" s="11">
        <f>IF(B437="","",ROUND(N(C437)*G437,2))</f>
        <v/>
      </c>
      <c r="I437" s="11">
        <f>IF(B437="","",N(C437)+N(D437)+N(E437)-H437)</f>
        <v/>
      </c>
    </row>
    <row r="438">
      <c r="A438" s="8" t="n"/>
      <c r="B438" s="6" t="n"/>
      <c r="C438" s="9" t="n"/>
      <c r="D438" s="9" t="n"/>
      <c r="E438" s="9" t="n"/>
      <c r="F438" s="10">
        <f>IF(A438="","",IF(DAY(A438)&lt;=5,DATE(YEAR(A438),MONTH(A438),5),DATE(YEAR(A438),MONTH(A438)+1,5)))</f>
        <v/>
      </c>
      <c r="G438" s="7">
        <f>IF(B438="","",IFERROR(INDEX(Subcontractors!$E$2:$E$101,MATCH(B438,Subcontractors!$A$2:$A$101,0)),0.3))</f>
        <v/>
      </c>
      <c r="H438" s="11">
        <f>IF(B438="","",ROUND(N(C438)*G438,2))</f>
        <v/>
      </c>
      <c r="I438" s="11">
        <f>IF(B438="","",N(C438)+N(D438)+N(E438)-H438)</f>
        <v/>
      </c>
    </row>
    <row r="439">
      <c r="A439" s="8" t="n"/>
      <c r="B439" s="6" t="n"/>
      <c r="C439" s="9" t="n"/>
      <c r="D439" s="9" t="n"/>
      <c r="E439" s="9" t="n"/>
      <c r="F439" s="10">
        <f>IF(A439="","",IF(DAY(A439)&lt;=5,DATE(YEAR(A439),MONTH(A439),5),DATE(YEAR(A439),MONTH(A439)+1,5)))</f>
        <v/>
      </c>
      <c r="G439" s="7">
        <f>IF(B439="","",IFERROR(INDEX(Subcontractors!$E$2:$E$101,MATCH(B439,Subcontractors!$A$2:$A$101,0)),0.3))</f>
        <v/>
      </c>
      <c r="H439" s="11">
        <f>IF(B439="","",ROUND(N(C439)*G439,2))</f>
        <v/>
      </c>
      <c r="I439" s="11">
        <f>IF(B439="","",N(C439)+N(D439)+N(E439)-H439)</f>
        <v/>
      </c>
    </row>
    <row r="440">
      <c r="A440" s="8" t="n"/>
      <c r="B440" s="6" t="n"/>
      <c r="C440" s="9" t="n"/>
      <c r="D440" s="9" t="n"/>
      <c r="E440" s="9" t="n"/>
      <c r="F440" s="10">
        <f>IF(A440="","",IF(DAY(A440)&lt;=5,DATE(YEAR(A440),MONTH(A440),5),DATE(YEAR(A440),MONTH(A440)+1,5)))</f>
        <v/>
      </c>
      <c r="G440" s="7">
        <f>IF(B440="","",IFERROR(INDEX(Subcontractors!$E$2:$E$101,MATCH(B440,Subcontractors!$A$2:$A$101,0)),0.3))</f>
        <v/>
      </c>
      <c r="H440" s="11">
        <f>IF(B440="","",ROUND(N(C440)*G440,2))</f>
        <v/>
      </c>
      <c r="I440" s="11">
        <f>IF(B440="","",N(C440)+N(D440)+N(E440)-H440)</f>
        <v/>
      </c>
    </row>
    <row r="441">
      <c r="A441" s="8" t="n"/>
      <c r="B441" s="6" t="n"/>
      <c r="C441" s="9" t="n"/>
      <c r="D441" s="9" t="n"/>
      <c r="E441" s="9" t="n"/>
      <c r="F441" s="10">
        <f>IF(A441="","",IF(DAY(A441)&lt;=5,DATE(YEAR(A441),MONTH(A441),5),DATE(YEAR(A441),MONTH(A441)+1,5)))</f>
        <v/>
      </c>
      <c r="G441" s="7">
        <f>IF(B441="","",IFERROR(INDEX(Subcontractors!$E$2:$E$101,MATCH(B441,Subcontractors!$A$2:$A$101,0)),0.3))</f>
        <v/>
      </c>
      <c r="H441" s="11">
        <f>IF(B441="","",ROUND(N(C441)*G441,2))</f>
        <v/>
      </c>
      <c r="I441" s="11">
        <f>IF(B441="","",N(C441)+N(D441)+N(E441)-H441)</f>
        <v/>
      </c>
    </row>
    <row r="442">
      <c r="A442" s="8" t="n"/>
      <c r="B442" s="6" t="n"/>
      <c r="C442" s="9" t="n"/>
      <c r="D442" s="9" t="n"/>
      <c r="E442" s="9" t="n"/>
      <c r="F442" s="10">
        <f>IF(A442="","",IF(DAY(A442)&lt;=5,DATE(YEAR(A442),MONTH(A442),5),DATE(YEAR(A442),MONTH(A442)+1,5)))</f>
        <v/>
      </c>
      <c r="G442" s="7">
        <f>IF(B442="","",IFERROR(INDEX(Subcontractors!$E$2:$E$101,MATCH(B442,Subcontractors!$A$2:$A$101,0)),0.3))</f>
        <v/>
      </c>
      <c r="H442" s="11">
        <f>IF(B442="","",ROUND(N(C442)*G442,2))</f>
        <v/>
      </c>
      <c r="I442" s="11">
        <f>IF(B442="","",N(C442)+N(D442)+N(E442)-H442)</f>
        <v/>
      </c>
    </row>
    <row r="443">
      <c r="A443" s="8" t="n"/>
      <c r="B443" s="6" t="n"/>
      <c r="C443" s="9" t="n"/>
      <c r="D443" s="9" t="n"/>
      <c r="E443" s="9" t="n"/>
      <c r="F443" s="10">
        <f>IF(A443="","",IF(DAY(A443)&lt;=5,DATE(YEAR(A443),MONTH(A443),5),DATE(YEAR(A443),MONTH(A443)+1,5)))</f>
        <v/>
      </c>
      <c r="G443" s="7">
        <f>IF(B443="","",IFERROR(INDEX(Subcontractors!$E$2:$E$101,MATCH(B443,Subcontractors!$A$2:$A$101,0)),0.3))</f>
        <v/>
      </c>
      <c r="H443" s="11">
        <f>IF(B443="","",ROUND(N(C443)*G443,2))</f>
        <v/>
      </c>
      <c r="I443" s="11">
        <f>IF(B443="","",N(C443)+N(D443)+N(E443)-H443)</f>
        <v/>
      </c>
    </row>
    <row r="444">
      <c r="A444" s="8" t="n"/>
      <c r="B444" s="6" t="n"/>
      <c r="C444" s="9" t="n"/>
      <c r="D444" s="9" t="n"/>
      <c r="E444" s="9" t="n"/>
      <c r="F444" s="10">
        <f>IF(A444="","",IF(DAY(A444)&lt;=5,DATE(YEAR(A444),MONTH(A444),5),DATE(YEAR(A444),MONTH(A444)+1,5)))</f>
        <v/>
      </c>
      <c r="G444" s="7">
        <f>IF(B444="","",IFERROR(INDEX(Subcontractors!$E$2:$E$101,MATCH(B444,Subcontractors!$A$2:$A$101,0)),0.3))</f>
        <v/>
      </c>
      <c r="H444" s="11">
        <f>IF(B444="","",ROUND(N(C444)*G444,2))</f>
        <v/>
      </c>
      <c r="I444" s="11">
        <f>IF(B444="","",N(C444)+N(D444)+N(E444)-H444)</f>
        <v/>
      </c>
    </row>
    <row r="445">
      <c r="A445" s="8" t="n"/>
      <c r="B445" s="6" t="n"/>
      <c r="C445" s="9" t="n"/>
      <c r="D445" s="9" t="n"/>
      <c r="E445" s="9" t="n"/>
      <c r="F445" s="10">
        <f>IF(A445="","",IF(DAY(A445)&lt;=5,DATE(YEAR(A445),MONTH(A445),5),DATE(YEAR(A445),MONTH(A445)+1,5)))</f>
        <v/>
      </c>
      <c r="G445" s="7">
        <f>IF(B445="","",IFERROR(INDEX(Subcontractors!$E$2:$E$101,MATCH(B445,Subcontractors!$A$2:$A$101,0)),0.3))</f>
        <v/>
      </c>
      <c r="H445" s="11">
        <f>IF(B445="","",ROUND(N(C445)*G445,2))</f>
        <v/>
      </c>
      <c r="I445" s="11">
        <f>IF(B445="","",N(C445)+N(D445)+N(E445)-H445)</f>
        <v/>
      </c>
    </row>
    <row r="446">
      <c r="A446" s="8" t="n"/>
      <c r="B446" s="6" t="n"/>
      <c r="C446" s="9" t="n"/>
      <c r="D446" s="9" t="n"/>
      <c r="E446" s="9" t="n"/>
      <c r="F446" s="10">
        <f>IF(A446="","",IF(DAY(A446)&lt;=5,DATE(YEAR(A446),MONTH(A446),5),DATE(YEAR(A446),MONTH(A446)+1,5)))</f>
        <v/>
      </c>
      <c r="G446" s="7">
        <f>IF(B446="","",IFERROR(INDEX(Subcontractors!$E$2:$E$101,MATCH(B446,Subcontractors!$A$2:$A$101,0)),0.3))</f>
        <v/>
      </c>
      <c r="H446" s="11">
        <f>IF(B446="","",ROUND(N(C446)*G446,2))</f>
        <v/>
      </c>
      <c r="I446" s="11">
        <f>IF(B446="","",N(C446)+N(D446)+N(E446)-H446)</f>
        <v/>
      </c>
    </row>
    <row r="447">
      <c r="A447" s="8" t="n"/>
      <c r="B447" s="6" t="n"/>
      <c r="C447" s="9" t="n"/>
      <c r="D447" s="9" t="n"/>
      <c r="E447" s="9" t="n"/>
      <c r="F447" s="10">
        <f>IF(A447="","",IF(DAY(A447)&lt;=5,DATE(YEAR(A447),MONTH(A447),5),DATE(YEAR(A447),MONTH(A447)+1,5)))</f>
        <v/>
      </c>
      <c r="G447" s="7">
        <f>IF(B447="","",IFERROR(INDEX(Subcontractors!$E$2:$E$101,MATCH(B447,Subcontractors!$A$2:$A$101,0)),0.3))</f>
        <v/>
      </c>
      <c r="H447" s="11">
        <f>IF(B447="","",ROUND(N(C447)*G447,2))</f>
        <v/>
      </c>
      <c r="I447" s="11">
        <f>IF(B447="","",N(C447)+N(D447)+N(E447)-H447)</f>
        <v/>
      </c>
    </row>
    <row r="448">
      <c r="A448" s="8" t="n"/>
      <c r="B448" s="6" t="n"/>
      <c r="C448" s="9" t="n"/>
      <c r="D448" s="9" t="n"/>
      <c r="E448" s="9" t="n"/>
      <c r="F448" s="10">
        <f>IF(A448="","",IF(DAY(A448)&lt;=5,DATE(YEAR(A448),MONTH(A448),5),DATE(YEAR(A448),MONTH(A448)+1,5)))</f>
        <v/>
      </c>
      <c r="G448" s="7">
        <f>IF(B448="","",IFERROR(INDEX(Subcontractors!$E$2:$E$101,MATCH(B448,Subcontractors!$A$2:$A$101,0)),0.3))</f>
        <v/>
      </c>
      <c r="H448" s="11">
        <f>IF(B448="","",ROUND(N(C448)*G448,2))</f>
        <v/>
      </c>
      <c r="I448" s="11">
        <f>IF(B448="","",N(C448)+N(D448)+N(E448)-H448)</f>
        <v/>
      </c>
    </row>
    <row r="449">
      <c r="A449" s="8" t="n"/>
      <c r="B449" s="6" t="n"/>
      <c r="C449" s="9" t="n"/>
      <c r="D449" s="9" t="n"/>
      <c r="E449" s="9" t="n"/>
      <c r="F449" s="10">
        <f>IF(A449="","",IF(DAY(A449)&lt;=5,DATE(YEAR(A449),MONTH(A449),5),DATE(YEAR(A449),MONTH(A449)+1,5)))</f>
        <v/>
      </c>
      <c r="G449" s="7">
        <f>IF(B449="","",IFERROR(INDEX(Subcontractors!$E$2:$E$101,MATCH(B449,Subcontractors!$A$2:$A$101,0)),0.3))</f>
        <v/>
      </c>
      <c r="H449" s="11">
        <f>IF(B449="","",ROUND(N(C449)*G449,2))</f>
        <v/>
      </c>
      <c r="I449" s="11">
        <f>IF(B449="","",N(C449)+N(D449)+N(E449)-H449)</f>
        <v/>
      </c>
    </row>
    <row r="450">
      <c r="A450" s="8" t="n"/>
      <c r="B450" s="6" t="n"/>
      <c r="C450" s="9" t="n"/>
      <c r="D450" s="9" t="n"/>
      <c r="E450" s="9" t="n"/>
      <c r="F450" s="10">
        <f>IF(A450="","",IF(DAY(A450)&lt;=5,DATE(YEAR(A450),MONTH(A450),5),DATE(YEAR(A450),MONTH(A450)+1,5)))</f>
        <v/>
      </c>
      <c r="G450" s="7">
        <f>IF(B450="","",IFERROR(INDEX(Subcontractors!$E$2:$E$101,MATCH(B450,Subcontractors!$A$2:$A$101,0)),0.3))</f>
        <v/>
      </c>
      <c r="H450" s="11">
        <f>IF(B450="","",ROUND(N(C450)*G450,2))</f>
        <v/>
      </c>
      <c r="I450" s="11">
        <f>IF(B450="","",N(C450)+N(D450)+N(E450)-H450)</f>
        <v/>
      </c>
    </row>
    <row r="451">
      <c r="A451" s="8" t="n"/>
      <c r="B451" s="6" t="n"/>
      <c r="C451" s="9" t="n"/>
      <c r="D451" s="9" t="n"/>
      <c r="E451" s="9" t="n"/>
      <c r="F451" s="10">
        <f>IF(A451="","",IF(DAY(A451)&lt;=5,DATE(YEAR(A451),MONTH(A451),5),DATE(YEAR(A451),MONTH(A451)+1,5)))</f>
        <v/>
      </c>
      <c r="G451" s="7">
        <f>IF(B451="","",IFERROR(INDEX(Subcontractors!$E$2:$E$101,MATCH(B451,Subcontractors!$A$2:$A$101,0)),0.3))</f>
        <v/>
      </c>
      <c r="H451" s="11">
        <f>IF(B451="","",ROUND(N(C451)*G451,2))</f>
        <v/>
      </c>
      <c r="I451" s="11">
        <f>IF(B451="","",N(C451)+N(D451)+N(E451)-H451)</f>
        <v/>
      </c>
    </row>
    <row r="452">
      <c r="A452" s="8" t="n"/>
      <c r="B452" s="6" t="n"/>
      <c r="C452" s="9" t="n"/>
      <c r="D452" s="9" t="n"/>
      <c r="E452" s="9" t="n"/>
      <c r="F452" s="10">
        <f>IF(A452="","",IF(DAY(A452)&lt;=5,DATE(YEAR(A452),MONTH(A452),5),DATE(YEAR(A452),MONTH(A452)+1,5)))</f>
        <v/>
      </c>
      <c r="G452" s="7">
        <f>IF(B452="","",IFERROR(INDEX(Subcontractors!$E$2:$E$101,MATCH(B452,Subcontractors!$A$2:$A$101,0)),0.3))</f>
        <v/>
      </c>
      <c r="H452" s="11">
        <f>IF(B452="","",ROUND(N(C452)*G452,2))</f>
        <v/>
      </c>
      <c r="I452" s="11">
        <f>IF(B452="","",N(C452)+N(D452)+N(E452)-H452)</f>
        <v/>
      </c>
    </row>
    <row r="453">
      <c r="A453" s="8" t="n"/>
      <c r="B453" s="6" t="n"/>
      <c r="C453" s="9" t="n"/>
      <c r="D453" s="9" t="n"/>
      <c r="E453" s="9" t="n"/>
      <c r="F453" s="10">
        <f>IF(A453="","",IF(DAY(A453)&lt;=5,DATE(YEAR(A453),MONTH(A453),5),DATE(YEAR(A453),MONTH(A453)+1,5)))</f>
        <v/>
      </c>
      <c r="G453" s="7">
        <f>IF(B453="","",IFERROR(INDEX(Subcontractors!$E$2:$E$101,MATCH(B453,Subcontractors!$A$2:$A$101,0)),0.3))</f>
        <v/>
      </c>
      <c r="H453" s="11">
        <f>IF(B453="","",ROUND(N(C453)*G453,2))</f>
        <v/>
      </c>
      <c r="I453" s="11">
        <f>IF(B453="","",N(C453)+N(D453)+N(E453)-H453)</f>
        <v/>
      </c>
    </row>
    <row r="454">
      <c r="A454" s="8" t="n"/>
      <c r="B454" s="6" t="n"/>
      <c r="C454" s="9" t="n"/>
      <c r="D454" s="9" t="n"/>
      <c r="E454" s="9" t="n"/>
      <c r="F454" s="10">
        <f>IF(A454="","",IF(DAY(A454)&lt;=5,DATE(YEAR(A454),MONTH(A454),5),DATE(YEAR(A454),MONTH(A454)+1,5)))</f>
        <v/>
      </c>
      <c r="G454" s="7">
        <f>IF(B454="","",IFERROR(INDEX(Subcontractors!$E$2:$E$101,MATCH(B454,Subcontractors!$A$2:$A$101,0)),0.3))</f>
        <v/>
      </c>
      <c r="H454" s="11">
        <f>IF(B454="","",ROUND(N(C454)*G454,2))</f>
        <v/>
      </c>
      <c r="I454" s="11">
        <f>IF(B454="","",N(C454)+N(D454)+N(E454)-H454)</f>
        <v/>
      </c>
    </row>
    <row r="455">
      <c r="A455" s="8" t="n"/>
      <c r="B455" s="6" t="n"/>
      <c r="C455" s="9" t="n"/>
      <c r="D455" s="9" t="n"/>
      <c r="E455" s="9" t="n"/>
      <c r="F455" s="10">
        <f>IF(A455="","",IF(DAY(A455)&lt;=5,DATE(YEAR(A455),MONTH(A455),5),DATE(YEAR(A455),MONTH(A455)+1,5)))</f>
        <v/>
      </c>
      <c r="G455" s="7">
        <f>IF(B455="","",IFERROR(INDEX(Subcontractors!$E$2:$E$101,MATCH(B455,Subcontractors!$A$2:$A$101,0)),0.3))</f>
        <v/>
      </c>
      <c r="H455" s="11">
        <f>IF(B455="","",ROUND(N(C455)*G455,2))</f>
        <v/>
      </c>
      <c r="I455" s="11">
        <f>IF(B455="","",N(C455)+N(D455)+N(E455)-H455)</f>
        <v/>
      </c>
    </row>
    <row r="456">
      <c r="A456" s="8" t="n"/>
      <c r="B456" s="6" t="n"/>
      <c r="C456" s="9" t="n"/>
      <c r="D456" s="9" t="n"/>
      <c r="E456" s="9" t="n"/>
      <c r="F456" s="10">
        <f>IF(A456="","",IF(DAY(A456)&lt;=5,DATE(YEAR(A456),MONTH(A456),5),DATE(YEAR(A456),MONTH(A456)+1,5)))</f>
        <v/>
      </c>
      <c r="G456" s="7">
        <f>IF(B456="","",IFERROR(INDEX(Subcontractors!$E$2:$E$101,MATCH(B456,Subcontractors!$A$2:$A$101,0)),0.3))</f>
        <v/>
      </c>
      <c r="H456" s="11">
        <f>IF(B456="","",ROUND(N(C456)*G456,2))</f>
        <v/>
      </c>
      <c r="I456" s="11">
        <f>IF(B456="","",N(C456)+N(D456)+N(E456)-H456)</f>
        <v/>
      </c>
    </row>
    <row r="457">
      <c r="A457" s="8" t="n"/>
      <c r="B457" s="6" t="n"/>
      <c r="C457" s="9" t="n"/>
      <c r="D457" s="9" t="n"/>
      <c r="E457" s="9" t="n"/>
      <c r="F457" s="10">
        <f>IF(A457="","",IF(DAY(A457)&lt;=5,DATE(YEAR(A457),MONTH(A457),5),DATE(YEAR(A457),MONTH(A457)+1,5)))</f>
        <v/>
      </c>
      <c r="G457" s="7">
        <f>IF(B457="","",IFERROR(INDEX(Subcontractors!$E$2:$E$101,MATCH(B457,Subcontractors!$A$2:$A$101,0)),0.3))</f>
        <v/>
      </c>
      <c r="H457" s="11">
        <f>IF(B457="","",ROUND(N(C457)*G457,2))</f>
        <v/>
      </c>
      <c r="I457" s="11">
        <f>IF(B457="","",N(C457)+N(D457)+N(E457)-H457)</f>
        <v/>
      </c>
    </row>
    <row r="458">
      <c r="A458" s="8" t="n"/>
      <c r="B458" s="6" t="n"/>
      <c r="C458" s="9" t="n"/>
      <c r="D458" s="9" t="n"/>
      <c r="E458" s="9" t="n"/>
      <c r="F458" s="10">
        <f>IF(A458="","",IF(DAY(A458)&lt;=5,DATE(YEAR(A458),MONTH(A458),5),DATE(YEAR(A458),MONTH(A458)+1,5)))</f>
        <v/>
      </c>
      <c r="G458" s="7">
        <f>IF(B458="","",IFERROR(INDEX(Subcontractors!$E$2:$E$101,MATCH(B458,Subcontractors!$A$2:$A$101,0)),0.3))</f>
        <v/>
      </c>
      <c r="H458" s="11">
        <f>IF(B458="","",ROUND(N(C458)*G458,2))</f>
        <v/>
      </c>
      <c r="I458" s="11">
        <f>IF(B458="","",N(C458)+N(D458)+N(E458)-H458)</f>
        <v/>
      </c>
    </row>
    <row r="459">
      <c r="A459" s="8" t="n"/>
      <c r="B459" s="6" t="n"/>
      <c r="C459" s="9" t="n"/>
      <c r="D459" s="9" t="n"/>
      <c r="E459" s="9" t="n"/>
      <c r="F459" s="10">
        <f>IF(A459="","",IF(DAY(A459)&lt;=5,DATE(YEAR(A459),MONTH(A459),5),DATE(YEAR(A459),MONTH(A459)+1,5)))</f>
        <v/>
      </c>
      <c r="G459" s="7">
        <f>IF(B459="","",IFERROR(INDEX(Subcontractors!$E$2:$E$101,MATCH(B459,Subcontractors!$A$2:$A$101,0)),0.3))</f>
        <v/>
      </c>
      <c r="H459" s="11">
        <f>IF(B459="","",ROUND(N(C459)*G459,2))</f>
        <v/>
      </c>
      <c r="I459" s="11">
        <f>IF(B459="","",N(C459)+N(D459)+N(E459)-H459)</f>
        <v/>
      </c>
    </row>
    <row r="460">
      <c r="A460" s="8" t="n"/>
      <c r="B460" s="6" t="n"/>
      <c r="C460" s="9" t="n"/>
      <c r="D460" s="9" t="n"/>
      <c r="E460" s="9" t="n"/>
      <c r="F460" s="10">
        <f>IF(A460="","",IF(DAY(A460)&lt;=5,DATE(YEAR(A460),MONTH(A460),5),DATE(YEAR(A460),MONTH(A460)+1,5)))</f>
        <v/>
      </c>
      <c r="G460" s="7">
        <f>IF(B460="","",IFERROR(INDEX(Subcontractors!$E$2:$E$101,MATCH(B460,Subcontractors!$A$2:$A$101,0)),0.3))</f>
        <v/>
      </c>
      <c r="H460" s="11">
        <f>IF(B460="","",ROUND(N(C460)*G460,2))</f>
        <v/>
      </c>
      <c r="I460" s="11">
        <f>IF(B460="","",N(C460)+N(D460)+N(E460)-H460)</f>
        <v/>
      </c>
    </row>
    <row r="461">
      <c r="A461" s="8" t="n"/>
      <c r="B461" s="6" t="n"/>
      <c r="C461" s="9" t="n"/>
      <c r="D461" s="9" t="n"/>
      <c r="E461" s="9" t="n"/>
      <c r="F461" s="10">
        <f>IF(A461="","",IF(DAY(A461)&lt;=5,DATE(YEAR(A461),MONTH(A461),5),DATE(YEAR(A461),MONTH(A461)+1,5)))</f>
        <v/>
      </c>
      <c r="G461" s="7">
        <f>IF(B461="","",IFERROR(INDEX(Subcontractors!$E$2:$E$101,MATCH(B461,Subcontractors!$A$2:$A$101,0)),0.3))</f>
        <v/>
      </c>
      <c r="H461" s="11">
        <f>IF(B461="","",ROUND(N(C461)*G461,2))</f>
        <v/>
      </c>
      <c r="I461" s="11">
        <f>IF(B461="","",N(C461)+N(D461)+N(E461)-H461)</f>
        <v/>
      </c>
    </row>
    <row r="462">
      <c r="A462" s="8" t="n"/>
      <c r="B462" s="6" t="n"/>
      <c r="C462" s="9" t="n"/>
      <c r="D462" s="9" t="n"/>
      <c r="E462" s="9" t="n"/>
      <c r="F462" s="10">
        <f>IF(A462="","",IF(DAY(A462)&lt;=5,DATE(YEAR(A462),MONTH(A462),5),DATE(YEAR(A462),MONTH(A462)+1,5)))</f>
        <v/>
      </c>
      <c r="G462" s="7">
        <f>IF(B462="","",IFERROR(INDEX(Subcontractors!$E$2:$E$101,MATCH(B462,Subcontractors!$A$2:$A$101,0)),0.3))</f>
        <v/>
      </c>
      <c r="H462" s="11">
        <f>IF(B462="","",ROUND(N(C462)*G462,2))</f>
        <v/>
      </c>
      <c r="I462" s="11">
        <f>IF(B462="","",N(C462)+N(D462)+N(E462)-H462)</f>
        <v/>
      </c>
    </row>
    <row r="463">
      <c r="A463" s="8" t="n"/>
      <c r="B463" s="6" t="n"/>
      <c r="C463" s="9" t="n"/>
      <c r="D463" s="9" t="n"/>
      <c r="E463" s="9" t="n"/>
      <c r="F463" s="10">
        <f>IF(A463="","",IF(DAY(A463)&lt;=5,DATE(YEAR(A463),MONTH(A463),5),DATE(YEAR(A463),MONTH(A463)+1,5)))</f>
        <v/>
      </c>
      <c r="G463" s="7">
        <f>IF(B463="","",IFERROR(INDEX(Subcontractors!$E$2:$E$101,MATCH(B463,Subcontractors!$A$2:$A$101,0)),0.3))</f>
        <v/>
      </c>
      <c r="H463" s="11">
        <f>IF(B463="","",ROUND(N(C463)*G463,2))</f>
        <v/>
      </c>
      <c r="I463" s="11">
        <f>IF(B463="","",N(C463)+N(D463)+N(E463)-H463)</f>
        <v/>
      </c>
    </row>
    <row r="464">
      <c r="A464" s="8" t="n"/>
      <c r="B464" s="6" t="n"/>
      <c r="C464" s="9" t="n"/>
      <c r="D464" s="9" t="n"/>
      <c r="E464" s="9" t="n"/>
      <c r="F464" s="10">
        <f>IF(A464="","",IF(DAY(A464)&lt;=5,DATE(YEAR(A464),MONTH(A464),5),DATE(YEAR(A464),MONTH(A464)+1,5)))</f>
        <v/>
      </c>
      <c r="G464" s="7">
        <f>IF(B464="","",IFERROR(INDEX(Subcontractors!$E$2:$E$101,MATCH(B464,Subcontractors!$A$2:$A$101,0)),0.3))</f>
        <v/>
      </c>
      <c r="H464" s="11">
        <f>IF(B464="","",ROUND(N(C464)*G464,2))</f>
        <v/>
      </c>
      <c r="I464" s="11">
        <f>IF(B464="","",N(C464)+N(D464)+N(E464)-H464)</f>
        <v/>
      </c>
    </row>
    <row r="465">
      <c r="A465" s="8" t="n"/>
      <c r="B465" s="6" t="n"/>
      <c r="C465" s="9" t="n"/>
      <c r="D465" s="9" t="n"/>
      <c r="E465" s="9" t="n"/>
      <c r="F465" s="10">
        <f>IF(A465="","",IF(DAY(A465)&lt;=5,DATE(YEAR(A465),MONTH(A465),5),DATE(YEAR(A465),MONTH(A465)+1,5)))</f>
        <v/>
      </c>
      <c r="G465" s="7">
        <f>IF(B465="","",IFERROR(INDEX(Subcontractors!$E$2:$E$101,MATCH(B465,Subcontractors!$A$2:$A$101,0)),0.3))</f>
        <v/>
      </c>
      <c r="H465" s="11">
        <f>IF(B465="","",ROUND(N(C465)*G465,2))</f>
        <v/>
      </c>
      <c r="I465" s="11">
        <f>IF(B465="","",N(C465)+N(D465)+N(E465)-H465)</f>
        <v/>
      </c>
    </row>
    <row r="466">
      <c r="A466" s="8" t="n"/>
      <c r="B466" s="6" t="n"/>
      <c r="C466" s="9" t="n"/>
      <c r="D466" s="9" t="n"/>
      <c r="E466" s="9" t="n"/>
      <c r="F466" s="10">
        <f>IF(A466="","",IF(DAY(A466)&lt;=5,DATE(YEAR(A466),MONTH(A466),5),DATE(YEAR(A466),MONTH(A466)+1,5)))</f>
        <v/>
      </c>
      <c r="G466" s="7">
        <f>IF(B466="","",IFERROR(INDEX(Subcontractors!$E$2:$E$101,MATCH(B466,Subcontractors!$A$2:$A$101,0)),0.3))</f>
        <v/>
      </c>
      <c r="H466" s="11">
        <f>IF(B466="","",ROUND(N(C466)*G466,2))</f>
        <v/>
      </c>
      <c r="I466" s="11">
        <f>IF(B466="","",N(C466)+N(D466)+N(E466)-H466)</f>
        <v/>
      </c>
    </row>
    <row r="467">
      <c r="A467" s="8" t="n"/>
      <c r="B467" s="6" t="n"/>
      <c r="C467" s="9" t="n"/>
      <c r="D467" s="9" t="n"/>
      <c r="E467" s="9" t="n"/>
      <c r="F467" s="10">
        <f>IF(A467="","",IF(DAY(A467)&lt;=5,DATE(YEAR(A467),MONTH(A467),5),DATE(YEAR(A467),MONTH(A467)+1,5)))</f>
        <v/>
      </c>
      <c r="G467" s="7">
        <f>IF(B467="","",IFERROR(INDEX(Subcontractors!$E$2:$E$101,MATCH(B467,Subcontractors!$A$2:$A$101,0)),0.3))</f>
        <v/>
      </c>
      <c r="H467" s="11">
        <f>IF(B467="","",ROUND(N(C467)*G467,2))</f>
        <v/>
      </c>
      <c r="I467" s="11">
        <f>IF(B467="","",N(C467)+N(D467)+N(E467)-H467)</f>
        <v/>
      </c>
    </row>
    <row r="468">
      <c r="A468" s="8" t="n"/>
      <c r="B468" s="6" t="n"/>
      <c r="C468" s="9" t="n"/>
      <c r="D468" s="9" t="n"/>
      <c r="E468" s="9" t="n"/>
      <c r="F468" s="10">
        <f>IF(A468="","",IF(DAY(A468)&lt;=5,DATE(YEAR(A468),MONTH(A468),5),DATE(YEAR(A468),MONTH(A468)+1,5)))</f>
        <v/>
      </c>
      <c r="G468" s="7">
        <f>IF(B468="","",IFERROR(INDEX(Subcontractors!$E$2:$E$101,MATCH(B468,Subcontractors!$A$2:$A$101,0)),0.3))</f>
        <v/>
      </c>
      <c r="H468" s="11">
        <f>IF(B468="","",ROUND(N(C468)*G468,2))</f>
        <v/>
      </c>
      <c r="I468" s="11">
        <f>IF(B468="","",N(C468)+N(D468)+N(E468)-H468)</f>
        <v/>
      </c>
    </row>
    <row r="469">
      <c r="A469" s="8" t="n"/>
      <c r="B469" s="6" t="n"/>
      <c r="C469" s="9" t="n"/>
      <c r="D469" s="9" t="n"/>
      <c r="E469" s="9" t="n"/>
      <c r="F469" s="10">
        <f>IF(A469="","",IF(DAY(A469)&lt;=5,DATE(YEAR(A469),MONTH(A469),5),DATE(YEAR(A469),MONTH(A469)+1,5)))</f>
        <v/>
      </c>
      <c r="G469" s="7">
        <f>IF(B469="","",IFERROR(INDEX(Subcontractors!$E$2:$E$101,MATCH(B469,Subcontractors!$A$2:$A$101,0)),0.3))</f>
        <v/>
      </c>
      <c r="H469" s="11">
        <f>IF(B469="","",ROUND(N(C469)*G469,2))</f>
        <v/>
      </c>
      <c r="I469" s="11">
        <f>IF(B469="","",N(C469)+N(D469)+N(E469)-H469)</f>
        <v/>
      </c>
    </row>
    <row r="470">
      <c r="A470" s="8" t="n"/>
      <c r="B470" s="6" t="n"/>
      <c r="C470" s="9" t="n"/>
      <c r="D470" s="9" t="n"/>
      <c r="E470" s="9" t="n"/>
      <c r="F470" s="10">
        <f>IF(A470="","",IF(DAY(A470)&lt;=5,DATE(YEAR(A470),MONTH(A470),5),DATE(YEAR(A470),MONTH(A470)+1,5)))</f>
        <v/>
      </c>
      <c r="G470" s="7">
        <f>IF(B470="","",IFERROR(INDEX(Subcontractors!$E$2:$E$101,MATCH(B470,Subcontractors!$A$2:$A$101,0)),0.3))</f>
        <v/>
      </c>
      <c r="H470" s="11">
        <f>IF(B470="","",ROUND(N(C470)*G470,2))</f>
        <v/>
      </c>
      <c r="I470" s="11">
        <f>IF(B470="","",N(C470)+N(D470)+N(E470)-H470)</f>
        <v/>
      </c>
    </row>
    <row r="471">
      <c r="A471" s="8" t="n"/>
      <c r="B471" s="6" t="n"/>
      <c r="C471" s="9" t="n"/>
      <c r="D471" s="9" t="n"/>
      <c r="E471" s="9" t="n"/>
      <c r="F471" s="10">
        <f>IF(A471="","",IF(DAY(A471)&lt;=5,DATE(YEAR(A471),MONTH(A471),5),DATE(YEAR(A471),MONTH(A471)+1,5)))</f>
        <v/>
      </c>
      <c r="G471" s="7">
        <f>IF(B471="","",IFERROR(INDEX(Subcontractors!$E$2:$E$101,MATCH(B471,Subcontractors!$A$2:$A$101,0)),0.3))</f>
        <v/>
      </c>
      <c r="H471" s="11">
        <f>IF(B471="","",ROUND(N(C471)*G471,2))</f>
        <v/>
      </c>
      <c r="I471" s="11">
        <f>IF(B471="","",N(C471)+N(D471)+N(E471)-H471)</f>
        <v/>
      </c>
    </row>
    <row r="472">
      <c r="A472" s="8" t="n"/>
      <c r="B472" s="6" t="n"/>
      <c r="C472" s="9" t="n"/>
      <c r="D472" s="9" t="n"/>
      <c r="E472" s="9" t="n"/>
      <c r="F472" s="10">
        <f>IF(A472="","",IF(DAY(A472)&lt;=5,DATE(YEAR(A472),MONTH(A472),5),DATE(YEAR(A472),MONTH(A472)+1,5)))</f>
        <v/>
      </c>
      <c r="G472" s="7">
        <f>IF(B472="","",IFERROR(INDEX(Subcontractors!$E$2:$E$101,MATCH(B472,Subcontractors!$A$2:$A$101,0)),0.3))</f>
        <v/>
      </c>
      <c r="H472" s="11">
        <f>IF(B472="","",ROUND(N(C472)*G472,2))</f>
        <v/>
      </c>
      <c r="I472" s="11">
        <f>IF(B472="","",N(C472)+N(D472)+N(E472)-H472)</f>
        <v/>
      </c>
    </row>
    <row r="473">
      <c r="A473" s="8" t="n"/>
      <c r="B473" s="6" t="n"/>
      <c r="C473" s="9" t="n"/>
      <c r="D473" s="9" t="n"/>
      <c r="E473" s="9" t="n"/>
      <c r="F473" s="10">
        <f>IF(A473="","",IF(DAY(A473)&lt;=5,DATE(YEAR(A473),MONTH(A473),5),DATE(YEAR(A473),MONTH(A473)+1,5)))</f>
        <v/>
      </c>
      <c r="G473" s="7">
        <f>IF(B473="","",IFERROR(INDEX(Subcontractors!$E$2:$E$101,MATCH(B473,Subcontractors!$A$2:$A$101,0)),0.3))</f>
        <v/>
      </c>
      <c r="H473" s="11">
        <f>IF(B473="","",ROUND(N(C473)*G473,2))</f>
        <v/>
      </c>
      <c r="I473" s="11">
        <f>IF(B473="","",N(C473)+N(D473)+N(E473)-H473)</f>
        <v/>
      </c>
    </row>
    <row r="474">
      <c r="A474" s="8" t="n"/>
      <c r="B474" s="6" t="n"/>
      <c r="C474" s="9" t="n"/>
      <c r="D474" s="9" t="n"/>
      <c r="E474" s="9" t="n"/>
      <c r="F474" s="10">
        <f>IF(A474="","",IF(DAY(A474)&lt;=5,DATE(YEAR(A474),MONTH(A474),5),DATE(YEAR(A474),MONTH(A474)+1,5)))</f>
        <v/>
      </c>
      <c r="G474" s="7">
        <f>IF(B474="","",IFERROR(INDEX(Subcontractors!$E$2:$E$101,MATCH(B474,Subcontractors!$A$2:$A$101,0)),0.3))</f>
        <v/>
      </c>
      <c r="H474" s="11">
        <f>IF(B474="","",ROUND(N(C474)*G474,2))</f>
        <v/>
      </c>
      <c r="I474" s="11">
        <f>IF(B474="","",N(C474)+N(D474)+N(E474)-H474)</f>
        <v/>
      </c>
    </row>
    <row r="475">
      <c r="A475" s="8" t="n"/>
      <c r="B475" s="6" t="n"/>
      <c r="C475" s="9" t="n"/>
      <c r="D475" s="9" t="n"/>
      <c r="E475" s="9" t="n"/>
      <c r="F475" s="10">
        <f>IF(A475="","",IF(DAY(A475)&lt;=5,DATE(YEAR(A475),MONTH(A475),5),DATE(YEAR(A475),MONTH(A475)+1,5)))</f>
        <v/>
      </c>
      <c r="G475" s="7">
        <f>IF(B475="","",IFERROR(INDEX(Subcontractors!$E$2:$E$101,MATCH(B475,Subcontractors!$A$2:$A$101,0)),0.3))</f>
        <v/>
      </c>
      <c r="H475" s="11">
        <f>IF(B475="","",ROUND(N(C475)*G475,2))</f>
        <v/>
      </c>
      <c r="I475" s="11">
        <f>IF(B475="","",N(C475)+N(D475)+N(E475)-H475)</f>
        <v/>
      </c>
    </row>
    <row r="476">
      <c r="A476" s="8" t="n"/>
      <c r="B476" s="6" t="n"/>
      <c r="C476" s="9" t="n"/>
      <c r="D476" s="9" t="n"/>
      <c r="E476" s="9" t="n"/>
      <c r="F476" s="10">
        <f>IF(A476="","",IF(DAY(A476)&lt;=5,DATE(YEAR(A476),MONTH(A476),5),DATE(YEAR(A476),MONTH(A476)+1,5)))</f>
        <v/>
      </c>
      <c r="G476" s="7">
        <f>IF(B476="","",IFERROR(INDEX(Subcontractors!$E$2:$E$101,MATCH(B476,Subcontractors!$A$2:$A$101,0)),0.3))</f>
        <v/>
      </c>
      <c r="H476" s="11">
        <f>IF(B476="","",ROUND(N(C476)*G476,2))</f>
        <v/>
      </c>
      <c r="I476" s="11">
        <f>IF(B476="","",N(C476)+N(D476)+N(E476)-H476)</f>
        <v/>
      </c>
    </row>
    <row r="477">
      <c r="A477" s="8" t="n"/>
      <c r="B477" s="6" t="n"/>
      <c r="C477" s="9" t="n"/>
      <c r="D477" s="9" t="n"/>
      <c r="E477" s="9" t="n"/>
      <c r="F477" s="10">
        <f>IF(A477="","",IF(DAY(A477)&lt;=5,DATE(YEAR(A477),MONTH(A477),5),DATE(YEAR(A477),MONTH(A477)+1,5)))</f>
        <v/>
      </c>
      <c r="G477" s="7">
        <f>IF(B477="","",IFERROR(INDEX(Subcontractors!$E$2:$E$101,MATCH(B477,Subcontractors!$A$2:$A$101,0)),0.3))</f>
        <v/>
      </c>
      <c r="H477" s="11">
        <f>IF(B477="","",ROUND(N(C477)*G477,2))</f>
        <v/>
      </c>
      <c r="I477" s="11">
        <f>IF(B477="","",N(C477)+N(D477)+N(E477)-H477)</f>
        <v/>
      </c>
    </row>
    <row r="478">
      <c r="A478" s="8" t="n"/>
      <c r="B478" s="6" t="n"/>
      <c r="C478" s="9" t="n"/>
      <c r="D478" s="9" t="n"/>
      <c r="E478" s="9" t="n"/>
      <c r="F478" s="10">
        <f>IF(A478="","",IF(DAY(A478)&lt;=5,DATE(YEAR(A478),MONTH(A478),5),DATE(YEAR(A478),MONTH(A478)+1,5)))</f>
        <v/>
      </c>
      <c r="G478" s="7">
        <f>IF(B478="","",IFERROR(INDEX(Subcontractors!$E$2:$E$101,MATCH(B478,Subcontractors!$A$2:$A$101,0)),0.3))</f>
        <v/>
      </c>
      <c r="H478" s="11">
        <f>IF(B478="","",ROUND(N(C478)*G478,2))</f>
        <v/>
      </c>
      <c r="I478" s="11">
        <f>IF(B478="","",N(C478)+N(D478)+N(E478)-H478)</f>
        <v/>
      </c>
    </row>
    <row r="479">
      <c r="A479" s="8" t="n"/>
      <c r="B479" s="6" t="n"/>
      <c r="C479" s="9" t="n"/>
      <c r="D479" s="9" t="n"/>
      <c r="E479" s="9" t="n"/>
      <c r="F479" s="10">
        <f>IF(A479="","",IF(DAY(A479)&lt;=5,DATE(YEAR(A479),MONTH(A479),5),DATE(YEAR(A479),MONTH(A479)+1,5)))</f>
        <v/>
      </c>
      <c r="G479" s="7">
        <f>IF(B479="","",IFERROR(INDEX(Subcontractors!$E$2:$E$101,MATCH(B479,Subcontractors!$A$2:$A$101,0)),0.3))</f>
        <v/>
      </c>
      <c r="H479" s="11">
        <f>IF(B479="","",ROUND(N(C479)*G479,2))</f>
        <v/>
      </c>
      <c r="I479" s="11">
        <f>IF(B479="","",N(C479)+N(D479)+N(E479)-H479)</f>
        <v/>
      </c>
    </row>
    <row r="480">
      <c r="A480" s="8" t="n"/>
      <c r="B480" s="6" t="n"/>
      <c r="C480" s="9" t="n"/>
      <c r="D480" s="9" t="n"/>
      <c r="E480" s="9" t="n"/>
      <c r="F480" s="10">
        <f>IF(A480="","",IF(DAY(A480)&lt;=5,DATE(YEAR(A480),MONTH(A480),5),DATE(YEAR(A480),MONTH(A480)+1,5)))</f>
        <v/>
      </c>
      <c r="G480" s="7">
        <f>IF(B480="","",IFERROR(INDEX(Subcontractors!$E$2:$E$101,MATCH(B480,Subcontractors!$A$2:$A$101,0)),0.3))</f>
        <v/>
      </c>
      <c r="H480" s="11">
        <f>IF(B480="","",ROUND(N(C480)*G480,2))</f>
        <v/>
      </c>
      <c r="I480" s="11">
        <f>IF(B480="","",N(C480)+N(D480)+N(E480)-H480)</f>
        <v/>
      </c>
    </row>
    <row r="481">
      <c r="A481" s="8" t="n"/>
      <c r="B481" s="6" t="n"/>
      <c r="C481" s="9" t="n"/>
      <c r="D481" s="9" t="n"/>
      <c r="E481" s="9" t="n"/>
      <c r="F481" s="10">
        <f>IF(A481="","",IF(DAY(A481)&lt;=5,DATE(YEAR(A481),MONTH(A481),5),DATE(YEAR(A481),MONTH(A481)+1,5)))</f>
        <v/>
      </c>
      <c r="G481" s="7">
        <f>IF(B481="","",IFERROR(INDEX(Subcontractors!$E$2:$E$101,MATCH(B481,Subcontractors!$A$2:$A$101,0)),0.3))</f>
        <v/>
      </c>
      <c r="H481" s="11">
        <f>IF(B481="","",ROUND(N(C481)*G481,2))</f>
        <v/>
      </c>
      <c r="I481" s="11">
        <f>IF(B481="","",N(C481)+N(D481)+N(E481)-H481)</f>
        <v/>
      </c>
    </row>
    <row r="482">
      <c r="A482" s="8" t="n"/>
      <c r="B482" s="6" t="n"/>
      <c r="C482" s="9" t="n"/>
      <c r="D482" s="9" t="n"/>
      <c r="E482" s="9" t="n"/>
      <c r="F482" s="10">
        <f>IF(A482="","",IF(DAY(A482)&lt;=5,DATE(YEAR(A482),MONTH(A482),5),DATE(YEAR(A482),MONTH(A482)+1,5)))</f>
        <v/>
      </c>
      <c r="G482" s="7">
        <f>IF(B482="","",IFERROR(INDEX(Subcontractors!$E$2:$E$101,MATCH(B482,Subcontractors!$A$2:$A$101,0)),0.3))</f>
        <v/>
      </c>
      <c r="H482" s="11">
        <f>IF(B482="","",ROUND(N(C482)*G482,2))</f>
        <v/>
      </c>
      <c r="I482" s="11">
        <f>IF(B482="","",N(C482)+N(D482)+N(E482)-H482)</f>
        <v/>
      </c>
    </row>
    <row r="483">
      <c r="A483" s="8" t="n"/>
      <c r="B483" s="6" t="n"/>
      <c r="C483" s="9" t="n"/>
      <c r="D483" s="9" t="n"/>
      <c r="E483" s="9" t="n"/>
      <c r="F483" s="10">
        <f>IF(A483="","",IF(DAY(A483)&lt;=5,DATE(YEAR(A483),MONTH(A483),5),DATE(YEAR(A483),MONTH(A483)+1,5)))</f>
        <v/>
      </c>
      <c r="G483" s="7">
        <f>IF(B483="","",IFERROR(INDEX(Subcontractors!$E$2:$E$101,MATCH(B483,Subcontractors!$A$2:$A$101,0)),0.3))</f>
        <v/>
      </c>
      <c r="H483" s="11">
        <f>IF(B483="","",ROUND(N(C483)*G483,2))</f>
        <v/>
      </c>
      <c r="I483" s="11">
        <f>IF(B483="","",N(C483)+N(D483)+N(E483)-H483)</f>
        <v/>
      </c>
    </row>
    <row r="484">
      <c r="A484" s="8" t="n"/>
      <c r="B484" s="6" t="n"/>
      <c r="C484" s="9" t="n"/>
      <c r="D484" s="9" t="n"/>
      <c r="E484" s="9" t="n"/>
      <c r="F484" s="10">
        <f>IF(A484="","",IF(DAY(A484)&lt;=5,DATE(YEAR(A484),MONTH(A484),5),DATE(YEAR(A484),MONTH(A484)+1,5)))</f>
        <v/>
      </c>
      <c r="G484" s="7">
        <f>IF(B484="","",IFERROR(INDEX(Subcontractors!$E$2:$E$101,MATCH(B484,Subcontractors!$A$2:$A$101,0)),0.3))</f>
        <v/>
      </c>
      <c r="H484" s="11">
        <f>IF(B484="","",ROUND(N(C484)*G484,2))</f>
        <v/>
      </c>
      <c r="I484" s="11">
        <f>IF(B484="","",N(C484)+N(D484)+N(E484)-H484)</f>
        <v/>
      </c>
    </row>
    <row r="485">
      <c r="A485" s="8" t="n"/>
      <c r="B485" s="6" t="n"/>
      <c r="C485" s="9" t="n"/>
      <c r="D485" s="9" t="n"/>
      <c r="E485" s="9" t="n"/>
      <c r="F485" s="10">
        <f>IF(A485="","",IF(DAY(A485)&lt;=5,DATE(YEAR(A485),MONTH(A485),5),DATE(YEAR(A485),MONTH(A485)+1,5)))</f>
        <v/>
      </c>
      <c r="G485" s="7">
        <f>IF(B485="","",IFERROR(INDEX(Subcontractors!$E$2:$E$101,MATCH(B485,Subcontractors!$A$2:$A$101,0)),0.3))</f>
        <v/>
      </c>
      <c r="H485" s="11">
        <f>IF(B485="","",ROUND(N(C485)*G485,2))</f>
        <v/>
      </c>
      <c r="I485" s="11">
        <f>IF(B485="","",N(C485)+N(D485)+N(E485)-H485)</f>
        <v/>
      </c>
    </row>
    <row r="486">
      <c r="A486" s="8" t="n"/>
      <c r="B486" s="6" t="n"/>
      <c r="C486" s="9" t="n"/>
      <c r="D486" s="9" t="n"/>
      <c r="E486" s="9" t="n"/>
      <c r="F486" s="10">
        <f>IF(A486="","",IF(DAY(A486)&lt;=5,DATE(YEAR(A486),MONTH(A486),5),DATE(YEAR(A486),MONTH(A486)+1,5)))</f>
        <v/>
      </c>
      <c r="G486" s="7">
        <f>IF(B486="","",IFERROR(INDEX(Subcontractors!$E$2:$E$101,MATCH(B486,Subcontractors!$A$2:$A$101,0)),0.3))</f>
        <v/>
      </c>
      <c r="H486" s="11">
        <f>IF(B486="","",ROUND(N(C486)*G486,2))</f>
        <v/>
      </c>
      <c r="I486" s="11">
        <f>IF(B486="","",N(C486)+N(D486)+N(E486)-H486)</f>
        <v/>
      </c>
    </row>
    <row r="487">
      <c r="A487" s="8" t="n"/>
      <c r="B487" s="6" t="n"/>
      <c r="C487" s="9" t="n"/>
      <c r="D487" s="9" t="n"/>
      <c r="E487" s="9" t="n"/>
      <c r="F487" s="10">
        <f>IF(A487="","",IF(DAY(A487)&lt;=5,DATE(YEAR(A487),MONTH(A487),5),DATE(YEAR(A487),MONTH(A487)+1,5)))</f>
        <v/>
      </c>
      <c r="G487" s="7">
        <f>IF(B487="","",IFERROR(INDEX(Subcontractors!$E$2:$E$101,MATCH(B487,Subcontractors!$A$2:$A$101,0)),0.3))</f>
        <v/>
      </c>
      <c r="H487" s="11">
        <f>IF(B487="","",ROUND(N(C487)*G487,2))</f>
        <v/>
      </c>
      <c r="I487" s="11">
        <f>IF(B487="","",N(C487)+N(D487)+N(E487)-H487)</f>
        <v/>
      </c>
    </row>
    <row r="488">
      <c r="A488" s="8" t="n"/>
      <c r="B488" s="6" t="n"/>
      <c r="C488" s="9" t="n"/>
      <c r="D488" s="9" t="n"/>
      <c r="E488" s="9" t="n"/>
      <c r="F488" s="10">
        <f>IF(A488="","",IF(DAY(A488)&lt;=5,DATE(YEAR(A488),MONTH(A488),5),DATE(YEAR(A488),MONTH(A488)+1,5)))</f>
        <v/>
      </c>
      <c r="G488" s="7">
        <f>IF(B488="","",IFERROR(INDEX(Subcontractors!$E$2:$E$101,MATCH(B488,Subcontractors!$A$2:$A$101,0)),0.3))</f>
        <v/>
      </c>
      <c r="H488" s="11">
        <f>IF(B488="","",ROUND(N(C488)*G488,2))</f>
        <v/>
      </c>
      <c r="I488" s="11">
        <f>IF(B488="","",N(C488)+N(D488)+N(E488)-H488)</f>
        <v/>
      </c>
    </row>
    <row r="489">
      <c r="A489" s="8" t="n"/>
      <c r="B489" s="6" t="n"/>
      <c r="C489" s="9" t="n"/>
      <c r="D489" s="9" t="n"/>
      <c r="E489" s="9" t="n"/>
      <c r="F489" s="10">
        <f>IF(A489="","",IF(DAY(A489)&lt;=5,DATE(YEAR(A489),MONTH(A489),5),DATE(YEAR(A489),MONTH(A489)+1,5)))</f>
        <v/>
      </c>
      <c r="G489" s="7">
        <f>IF(B489="","",IFERROR(INDEX(Subcontractors!$E$2:$E$101,MATCH(B489,Subcontractors!$A$2:$A$101,0)),0.3))</f>
        <v/>
      </c>
      <c r="H489" s="11">
        <f>IF(B489="","",ROUND(N(C489)*G489,2))</f>
        <v/>
      </c>
      <c r="I489" s="11">
        <f>IF(B489="","",N(C489)+N(D489)+N(E489)-H489)</f>
        <v/>
      </c>
    </row>
    <row r="490">
      <c r="A490" s="8" t="n"/>
      <c r="B490" s="6" t="n"/>
      <c r="C490" s="9" t="n"/>
      <c r="D490" s="9" t="n"/>
      <c r="E490" s="9" t="n"/>
      <c r="F490" s="10">
        <f>IF(A490="","",IF(DAY(A490)&lt;=5,DATE(YEAR(A490),MONTH(A490),5),DATE(YEAR(A490),MONTH(A490)+1,5)))</f>
        <v/>
      </c>
      <c r="G490" s="7">
        <f>IF(B490="","",IFERROR(INDEX(Subcontractors!$E$2:$E$101,MATCH(B490,Subcontractors!$A$2:$A$101,0)),0.3))</f>
        <v/>
      </c>
      <c r="H490" s="11">
        <f>IF(B490="","",ROUND(N(C490)*G490,2))</f>
        <v/>
      </c>
      <c r="I490" s="11">
        <f>IF(B490="","",N(C490)+N(D490)+N(E490)-H490)</f>
        <v/>
      </c>
    </row>
    <row r="491">
      <c r="A491" s="8" t="n"/>
      <c r="B491" s="6" t="n"/>
      <c r="C491" s="9" t="n"/>
      <c r="D491" s="9" t="n"/>
      <c r="E491" s="9" t="n"/>
      <c r="F491" s="10">
        <f>IF(A491="","",IF(DAY(A491)&lt;=5,DATE(YEAR(A491),MONTH(A491),5),DATE(YEAR(A491),MONTH(A491)+1,5)))</f>
        <v/>
      </c>
      <c r="G491" s="7">
        <f>IF(B491="","",IFERROR(INDEX(Subcontractors!$E$2:$E$101,MATCH(B491,Subcontractors!$A$2:$A$101,0)),0.3))</f>
        <v/>
      </c>
      <c r="H491" s="11">
        <f>IF(B491="","",ROUND(N(C491)*G491,2))</f>
        <v/>
      </c>
      <c r="I491" s="11">
        <f>IF(B491="","",N(C491)+N(D491)+N(E491)-H491)</f>
        <v/>
      </c>
    </row>
    <row r="492">
      <c r="A492" s="8" t="n"/>
      <c r="B492" s="6" t="n"/>
      <c r="C492" s="9" t="n"/>
      <c r="D492" s="9" t="n"/>
      <c r="E492" s="9" t="n"/>
      <c r="F492" s="10">
        <f>IF(A492="","",IF(DAY(A492)&lt;=5,DATE(YEAR(A492),MONTH(A492),5),DATE(YEAR(A492),MONTH(A492)+1,5)))</f>
        <v/>
      </c>
      <c r="G492" s="7">
        <f>IF(B492="","",IFERROR(INDEX(Subcontractors!$E$2:$E$101,MATCH(B492,Subcontractors!$A$2:$A$101,0)),0.3))</f>
        <v/>
      </c>
      <c r="H492" s="11">
        <f>IF(B492="","",ROUND(N(C492)*G492,2))</f>
        <v/>
      </c>
      <c r="I492" s="11">
        <f>IF(B492="","",N(C492)+N(D492)+N(E492)-H492)</f>
        <v/>
      </c>
    </row>
    <row r="493">
      <c r="A493" s="8" t="n"/>
      <c r="B493" s="6" t="n"/>
      <c r="C493" s="9" t="n"/>
      <c r="D493" s="9" t="n"/>
      <c r="E493" s="9" t="n"/>
      <c r="F493" s="10">
        <f>IF(A493="","",IF(DAY(A493)&lt;=5,DATE(YEAR(A493),MONTH(A493),5),DATE(YEAR(A493),MONTH(A493)+1,5)))</f>
        <v/>
      </c>
      <c r="G493" s="7">
        <f>IF(B493="","",IFERROR(INDEX(Subcontractors!$E$2:$E$101,MATCH(B493,Subcontractors!$A$2:$A$101,0)),0.3))</f>
        <v/>
      </c>
      <c r="H493" s="11">
        <f>IF(B493="","",ROUND(N(C493)*G493,2))</f>
        <v/>
      </c>
      <c r="I493" s="11">
        <f>IF(B493="","",N(C493)+N(D493)+N(E493)-H493)</f>
        <v/>
      </c>
    </row>
    <row r="494">
      <c r="A494" s="8" t="n"/>
      <c r="B494" s="6" t="n"/>
      <c r="C494" s="9" t="n"/>
      <c r="D494" s="9" t="n"/>
      <c r="E494" s="9" t="n"/>
      <c r="F494" s="10">
        <f>IF(A494="","",IF(DAY(A494)&lt;=5,DATE(YEAR(A494),MONTH(A494),5),DATE(YEAR(A494),MONTH(A494)+1,5)))</f>
        <v/>
      </c>
      <c r="G494" s="7">
        <f>IF(B494="","",IFERROR(INDEX(Subcontractors!$E$2:$E$101,MATCH(B494,Subcontractors!$A$2:$A$101,0)),0.3))</f>
        <v/>
      </c>
      <c r="H494" s="11">
        <f>IF(B494="","",ROUND(N(C494)*G494,2))</f>
        <v/>
      </c>
      <c r="I494" s="11">
        <f>IF(B494="","",N(C494)+N(D494)+N(E494)-H494)</f>
        <v/>
      </c>
    </row>
    <row r="495">
      <c r="A495" s="8" t="n"/>
      <c r="B495" s="6" t="n"/>
      <c r="C495" s="9" t="n"/>
      <c r="D495" s="9" t="n"/>
      <c r="E495" s="9" t="n"/>
      <c r="F495" s="10">
        <f>IF(A495="","",IF(DAY(A495)&lt;=5,DATE(YEAR(A495),MONTH(A495),5),DATE(YEAR(A495),MONTH(A495)+1,5)))</f>
        <v/>
      </c>
      <c r="G495" s="7">
        <f>IF(B495="","",IFERROR(INDEX(Subcontractors!$E$2:$E$101,MATCH(B495,Subcontractors!$A$2:$A$101,0)),0.3))</f>
        <v/>
      </c>
      <c r="H495" s="11">
        <f>IF(B495="","",ROUND(N(C495)*G495,2))</f>
        <v/>
      </c>
      <c r="I495" s="11">
        <f>IF(B495="","",N(C495)+N(D495)+N(E495)-H495)</f>
        <v/>
      </c>
    </row>
    <row r="496">
      <c r="A496" s="8" t="n"/>
      <c r="B496" s="6" t="n"/>
      <c r="C496" s="9" t="n"/>
      <c r="D496" s="9" t="n"/>
      <c r="E496" s="9" t="n"/>
      <c r="F496" s="10">
        <f>IF(A496="","",IF(DAY(A496)&lt;=5,DATE(YEAR(A496),MONTH(A496),5),DATE(YEAR(A496),MONTH(A496)+1,5)))</f>
        <v/>
      </c>
      <c r="G496" s="7">
        <f>IF(B496="","",IFERROR(INDEX(Subcontractors!$E$2:$E$101,MATCH(B496,Subcontractors!$A$2:$A$101,0)),0.3))</f>
        <v/>
      </c>
      <c r="H496" s="11">
        <f>IF(B496="","",ROUND(N(C496)*G496,2))</f>
        <v/>
      </c>
      <c r="I496" s="11">
        <f>IF(B496="","",N(C496)+N(D496)+N(E496)-H496)</f>
        <v/>
      </c>
    </row>
    <row r="497">
      <c r="A497" s="8" t="n"/>
      <c r="B497" s="6" t="n"/>
      <c r="C497" s="9" t="n"/>
      <c r="D497" s="9" t="n"/>
      <c r="E497" s="9" t="n"/>
      <c r="F497" s="10">
        <f>IF(A497="","",IF(DAY(A497)&lt;=5,DATE(YEAR(A497),MONTH(A497),5),DATE(YEAR(A497),MONTH(A497)+1,5)))</f>
        <v/>
      </c>
      <c r="G497" s="7">
        <f>IF(B497="","",IFERROR(INDEX(Subcontractors!$E$2:$E$101,MATCH(B497,Subcontractors!$A$2:$A$101,0)),0.3))</f>
        <v/>
      </c>
      <c r="H497" s="11">
        <f>IF(B497="","",ROUND(N(C497)*G497,2))</f>
        <v/>
      </c>
      <c r="I497" s="11">
        <f>IF(B497="","",N(C497)+N(D497)+N(E497)-H497)</f>
        <v/>
      </c>
    </row>
    <row r="498">
      <c r="A498" s="8" t="n"/>
      <c r="B498" s="6" t="n"/>
      <c r="C498" s="9" t="n"/>
      <c r="D498" s="9" t="n"/>
      <c r="E498" s="9" t="n"/>
      <c r="F498" s="10">
        <f>IF(A498="","",IF(DAY(A498)&lt;=5,DATE(YEAR(A498),MONTH(A498),5),DATE(YEAR(A498),MONTH(A498)+1,5)))</f>
        <v/>
      </c>
      <c r="G498" s="7">
        <f>IF(B498="","",IFERROR(INDEX(Subcontractors!$E$2:$E$101,MATCH(B498,Subcontractors!$A$2:$A$101,0)),0.3))</f>
        <v/>
      </c>
      <c r="H498" s="11">
        <f>IF(B498="","",ROUND(N(C498)*G498,2))</f>
        <v/>
      </c>
      <c r="I498" s="11">
        <f>IF(B498="","",N(C498)+N(D498)+N(E498)-H498)</f>
        <v/>
      </c>
    </row>
    <row r="499">
      <c r="A499" s="8" t="n"/>
      <c r="B499" s="6" t="n"/>
      <c r="C499" s="9" t="n"/>
      <c r="D499" s="9" t="n"/>
      <c r="E499" s="9" t="n"/>
      <c r="F499" s="10">
        <f>IF(A499="","",IF(DAY(A499)&lt;=5,DATE(YEAR(A499),MONTH(A499),5),DATE(YEAR(A499),MONTH(A499)+1,5)))</f>
        <v/>
      </c>
      <c r="G499" s="7">
        <f>IF(B499="","",IFERROR(INDEX(Subcontractors!$E$2:$E$101,MATCH(B499,Subcontractors!$A$2:$A$101,0)),0.3))</f>
        <v/>
      </c>
      <c r="H499" s="11">
        <f>IF(B499="","",ROUND(N(C499)*G499,2))</f>
        <v/>
      </c>
      <c r="I499" s="11">
        <f>IF(B499="","",N(C499)+N(D499)+N(E499)-H499)</f>
        <v/>
      </c>
    </row>
    <row r="500">
      <c r="A500" s="8" t="n"/>
      <c r="B500" s="6" t="n"/>
      <c r="C500" s="9" t="n"/>
      <c r="D500" s="9" t="n"/>
      <c r="E500" s="9" t="n"/>
      <c r="F500" s="10">
        <f>IF(A500="","",IF(DAY(A500)&lt;=5,DATE(YEAR(A500),MONTH(A500),5),DATE(YEAR(A500),MONTH(A500)+1,5)))</f>
        <v/>
      </c>
      <c r="G500" s="7">
        <f>IF(B500="","",IFERROR(INDEX(Subcontractors!$E$2:$E$101,MATCH(B500,Subcontractors!$A$2:$A$101,0)),0.3))</f>
        <v/>
      </c>
      <c r="H500" s="11">
        <f>IF(B500="","",ROUND(N(C500)*G500,2))</f>
        <v/>
      </c>
      <c r="I500" s="11">
        <f>IF(B500="","",N(C500)+N(D500)+N(E500)-H500)</f>
        <v/>
      </c>
    </row>
    <row r="501">
      <c r="A501" s="8" t="n"/>
      <c r="B501" s="6" t="n"/>
      <c r="C501" s="9" t="n"/>
      <c r="D501" s="9" t="n"/>
      <c r="E501" s="9" t="n"/>
      <c r="F501" s="10">
        <f>IF(A501="","",IF(DAY(A501)&lt;=5,DATE(YEAR(A501),MONTH(A501),5),DATE(YEAR(A501),MONTH(A501)+1,5)))</f>
        <v/>
      </c>
      <c r="G501" s="7">
        <f>IF(B501="","",IFERROR(INDEX(Subcontractors!$E$2:$E$101,MATCH(B501,Subcontractors!$A$2:$A$101,0)),0.3))</f>
        <v/>
      </c>
      <c r="H501" s="11">
        <f>IF(B501="","",ROUND(N(C501)*G501,2))</f>
        <v/>
      </c>
      <c r="I501" s="11">
        <f>IF(B501="","",N(C501)+N(D501)+N(E501)-H501)</f>
        <v/>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1" type="list">
      <formula1>=Subcontractors!$A$2:$A$101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20" customWidth="1" min="3" max="3"/>
    <col width="14" customWidth="1" min="4" max="4"/>
    <col width="13" customWidth="1" min="5" max="5"/>
    <col width="14" customWidth="1" min="6" max="6"/>
    <col width="13" customWidth="1" min="7" max="7"/>
  </cols>
  <sheetData>
    <row r="1">
      <c r="A1" s="5" t="inlineStr">
        <is>
          <t>Tax month ends</t>
        </is>
      </c>
      <c r="B1" s="5" t="inlineStr">
        <is>
          <t>Return due</t>
        </is>
      </c>
      <c r="C1" s="5" t="inlineStr">
        <is>
          <t>Pay HMRC by (electronic)</t>
        </is>
      </c>
      <c r="D1" s="5" t="inlineStr">
        <is>
          <t>Labour paid £</t>
        </is>
      </c>
      <c r="E1" s="5" t="inlineStr">
        <is>
          <t>Materials £</t>
        </is>
      </c>
      <c r="F1" s="5" t="inlineStr">
        <is>
          <t>CIS deducted £</t>
        </is>
      </c>
      <c r="G1" s="5" t="inlineStr">
        <is>
          <t>Days to return</t>
        </is>
      </c>
      <c r="I1" t="inlineStr">
        <is>
          <t>File a return every month you're registered as a contractor, including a nil return if you paid nobody (or tell HMRC you're inactive).</t>
        </is>
      </c>
    </row>
    <row r="2">
      <c r="A2" s="10">
        <f>DATE(2026,5,5)</f>
        <v/>
      </c>
      <c r="B2" s="10">
        <f>A2+14</f>
        <v/>
      </c>
      <c r="C2" s="10">
        <f>A2+17</f>
        <v/>
      </c>
      <c r="D2" s="11">
        <f>SUMIFS(Payments!$C:$C,Payments!$F:$F,A2)</f>
        <v/>
      </c>
      <c r="E2" s="11">
        <f>SUMIFS(Payments!$D:$D,Payments!$F:$F,A2)</f>
        <v/>
      </c>
      <c r="F2" s="11">
        <f>SUMIFS(Payments!$H:$H,Payments!$F:$F,A2)</f>
        <v/>
      </c>
      <c r="G2">
        <f>B2-TODAY()</f>
        <v/>
      </c>
    </row>
    <row r="3">
      <c r="A3" s="10">
        <f>DATE(2026,6,5)</f>
        <v/>
      </c>
      <c r="B3" s="10">
        <f>A3+14</f>
        <v/>
      </c>
      <c r="C3" s="10">
        <f>A3+17</f>
        <v/>
      </c>
      <c r="D3" s="11">
        <f>SUMIFS(Payments!$C:$C,Payments!$F:$F,A3)</f>
        <v/>
      </c>
      <c r="E3" s="11">
        <f>SUMIFS(Payments!$D:$D,Payments!$F:$F,A3)</f>
        <v/>
      </c>
      <c r="F3" s="11">
        <f>SUMIFS(Payments!$H:$H,Payments!$F:$F,A3)</f>
        <v/>
      </c>
      <c r="G3">
        <f>B3-TODAY()</f>
        <v/>
      </c>
    </row>
    <row r="4">
      <c r="A4" s="10">
        <f>DATE(2026,7,5)</f>
        <v/>
      </c>
      <c r="B4" s="10">
        <f>A4+14</f>
        <v/>
      </c>
      <c r="C4" s="10">
        <f>A4+17</f>
        <v/>
      </c>
      <c r="D4" s="11">
        <f>SUMIFS(Payments!$C:$C,Payments!$F:$F,A4)</f>
        <v/>
      </c>
      <c r="E4" s="11">
        <f>SUMIFS(Payments!$D:$D,Payments!$F:$F,A4)</f>
        <v/>
      </c>
      <c r="F4" s="11">
        <f>SUMIFS(Payments!$H:$H,Payments!$F:$F,A4)</f>
        <v/>
      </c>
      <c r="G4">
        <f>B4-TODAY()</f>
        <v/>
      </c>
    </row>
    <row r="5">
      <c r="A5" s="10">
        <f>DATE(2026,8,5)</f>
        <v/>
      </c>
      <c r="B5" s="10">
        <f>A5+14</f>
        <v/>
      </c>
      <c r="C5" s="10">
        <f>A5+17</f>
        <v/>
      </c>
      <c r="D5" s="11">
        <f>SUMIFS(Payments!$C:$C,Payments!$F:$F,A5)</f>
        <v/>
      </c>
      <c r="E5" s="11">
        <f>SUMIFS(Payments!$D:$D,Payments!$F:$F,A5)</f>
        <v/>
      </c>
      <c r="F5" s="11">
        <f>SUMIFS(Payments!$H:$H,Payments!$F:$F,A5)</f>
        <v/>
      </c>
      <c r="G5">
        <f>B5-TODAY()</f>
        <v/>
      </c>
    </row>
    <row r="6">
      <c r="A6" s="10">
        <f>DATE(2026,9,5)</f>
        <v/>
      </c>
      <c r="B6" s="10">
        <f>A6+14</f>
        <v/>
      </c>
      <c r="C6" s="10">
        <f>A6+17</f>
        <v/>
      </c>
      <c r="D6" s="11">
        <f>SUMIFS(Payments!$C:$C,Payments!$F:$F,A6)</f>
        <v/>
      </c>
      <c r="E6" s="11">
        <f>SUMIFS(Payments!$D:$D,Payments!$F:$F,A6)</f>
        <v/>
      </c>
      <c r="F6" s="11">
        <f>SUMIFS(Payments!$H:$H,Payments!$F:$F,A6)</f>
        <v/>
      </c>
      <c r="G6">
        <f>B6-TODAY()</f>
        <v/>
      </c>
    </row>
    <row r="7">
      <c r="A7" s="10">
        <f>DATE(2026,10,5)</f>
        <v/>
      </c>
      <c r="B7" s="10">
        <f>A7+14</f>
        <v/>
      </c>
      <c r="C7" s="10">
        <f>A7+17</f>
        <v/>
      </c>
      <c r="D7" s="11">
        <f>SUMIFS(Payments!$C:$C,Payments!$F:$F,A7)</f>
        <v/>
      </c>
      <c r="E7" s="11">
        <f>SUMIFS(Payments!$D:$D,Payments!$F:$F,A7)</f>
        <v/>
      </c>
      <c r="F7" s="11">
        <f>SUMIFS(Payments!$H:$H,Payments!$F:$F,A7)</f>
        <v/>
      </c>
      <c r="G7">
        <f>B7-TODAY()</f>
        <v/>
      </c>
    </row>
    <row r="8">
      <c r="A8" s="10">
        <f>DATE(2026,11,5)</f>
        <v/>
      </c>
      <c r="B8" s="10">
        <f>A8+14</f>
        <v/>
      </c>
      <c r="C8" s="10">
        <f>A8+17</f>
        <v/>
      </c>
      <c r="D8" s="11">
        <f>SUMIFS(Payments!$C:$C,Payments!$F:$F,A8)</f>
        <v/>
      </c>
      <c r="E8" s="11">
        <f>SUMIFS(Payments!$D:$D,Payments!$F:$F,A8)</f>
        <v/>
      </c>
      <c r="F8" s="11">
        <f>SUMIFS(Payments!$H:$H,Payments!$F:$F,A8)</f>
        <v/>
      </c>
      <c r="G8">
        <f>B8-TODAY()</f>
        <v/>
      </c>
    </row>
    <row r="9">
      <c r="A9" s="10">
        <f>DATE(2026,12,5)</f>
        <v/>
      </c>
      <c r="B9" s="10">
        <f>A9+14</f>
        <v/>
      </c>
      <c r="C9" s="10">
        <f>A9+17</f>
        <v/>
      </c>
      <c r="D9" s="11">
        <f>SUMIFS(Payments!$C:$C,Payments!$F:$F,A9)</f>
        <v/>
      </c>
      <c r="E9" s="11">
        <f>SUMIFS(Payments!$D:$D,Payments!$F:$F,A9)</f>
        <v/>
      </c>
      <c r="F9" s="11">
        <f>SUMIFS(Payments!$H:$H,Payments!$F:$F,A9)</f>
        <v/>
      </c>
      <c r="G9">
        <f>B9-TODAY()</f>
        <v/>
      </c>
    </row>
    <row r="10">
      <c r="A10" s="10">
        <f>DATE(2026,13,5)</f>
        <v/>
      </c>
      <c r="B10" s="10">
        <f>A10+14</f>
        <v/>
      </c>
      <c r="C10" s="10">
        <f>A10+17</f>
        <v/>
      </c>
      <c r="D10" s="11">
        <f>SUMIFS(Payments!$C:$C,Payments!$F:$F,A10)</f>
        <v/>
      </c>
      <c r="E10" s="11">
        <f>SUMIFS(Payments!$D:$D,Payments!$F:$F,A10)</f>
        <v/>
      </c>
      <c r="F10" s="11">
        <f>SUMIFS(Payments!$H:$H,Payments!$F:$F,A10)</f>
        <v/>
      </c>
      <c r="G10">
        <f>B10-TODAY()</f>
        <v/>
      </c>
    </row>
    <row r="11">
      <c r="A11" s="10">
        <f>DATE(2026,14,5)</f>
        <v/>
      </c>
      <c r="B11" s="10">
        <f>A11+14</f>
        <v/>
      </c>
      <c r="C11" s="10">
        <f>A11+17</f>
        <v/>
      </c>
      <c r="D11" s="11">
        <f>SUMIFS(Payments!$C:$C,Payments!$F:$F,A11)</f>
        <v/>
      </c>
      <c r="E11" s="11">
        <f>SUMIFS(Payments!$D:$D,Payments!$F:$F,A11)</f>
        <v/>
      </c>
      <c r="F11" s="11">
        <f>SUMIFS(Payments!$H:$H,Payments!$F:$F,A11)</f>
        <v/>
      </c>
      <c r="G11">
        <f>B11-TODAY()</f>
        <v/>
      </c>
    </row>
    <row r="12">
      <c r="A12" s="10">
        <f>DATE(2026,15,5)</f>
        <v/>
      </c>
      <c r="B12" s="10">
        <f>A12+14</f>
        <v/>
      </c>
      <c r="C12" s="10">
        <f>A12+17</f>
        <v/>
      </c>
      <c r="D12" s="11">
        <f>SUMIFS(Payments!$C:$C,Payments!$F:$F,A12)</f>
        <v/>
      </c>
      <c r="E12" s="11">
        <f>SUMIFS(Payments!$D:$D,Payments!$F:$F,A12)</f>
        <v/>
      </c>
      <c r="F12" s="11">
        <f>SUMIFS(Payments!$H:$H,Payments!$F:$F,A12)</f>
        <v/>
      </c>
      <c r="G12">
        <f>B12-TODAY()</f>
        <v/>
      </c>
    </row>
    <row r="13">
      <c r="A13" s="10">
        <f>DATE(2026,16,5)</f>
        <v/>
      </c>
      <c r="B13" s="10">
        <f>A13+14</f>
        <v/>
      </c>
      <c r="C13" s="10">
        <f>A13+17</f>
        <v/>
      </c>
      <c r="D13" s="11">
        <f>SUMIFS(Payments!$C:$C,Payments!$F:$F,A13)</f>
        <v/>
      </c>
      <c r="E13" s="11">
        <f>SUMIFS(Payments!$D:$D,Payments!$F:$F,A13)</f>
        <v/>
      </c>
      <c r="F13" s="11">
        <f>SUMIFS(Payments!$H:$H,Payments!$F:$F,A13)</f>
        <v/>
      </c>
      <c r="G13">
        <f>B13-TODAY()</f>
        <v/>
      </c>
    </row>
  </sheetData>
  <conditionalFormatting sqref="G2:G13">
    <cfRule type="expression" priority="1" dxfId="0">
      <formula>AND(G2&gt;=0,G2&lt;=7)</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24" customWidth="1" min="2" max="2"/>
  </cols>
  <sheetData>
    <row r="1">
      <c r="A1" s="12" t="inlineStr">
        <is>
          <t>CIS payment and deduction statement</t>
        </is>
      </c>
    </row>
    <row r="3">
      <c r="A3" t="inlineStr">
        <is>
          <t>Contractor name</t>
        </is>
      </c>
      <c r="B3" s="6" t="n"/>
    </row>
    <row r="4">
      <c r="A4" t="inlineStr">
        <is>
          <t>Contractor employer's reference</t>
        </is>
      </c>
      <c r="B4" s="6" t="n"/>
    </row>
    <row r="5">
      <c r="A5" t="inlineStr">
        <is>
          <t>Subcontractor</t>
        </is>
      </c>
      <c r="B5" s="6" t="n"/>
    </row>
    <row r="6">
      <c r="A6" t="inlineStr">
        <is>
          <t>Subcontractor verification number</t>
        </is>
      </c>
      <c r="B6" s="6" t="n"/>
    </row>
    <row r="7">
      <c r="A7" t="inlineStr">
        <is>
          <t>Tax month ending</t>
        </is>
      </c>
      <c r="B7" s="8" t="n"/>
    </row>
    <row r="8">
      <c r="A8" t="inlineStr">
        <is>
          <t>Gross amount paid (excl. VAT) £</t>
        </is>
      </c>
      <c r="B8" s="11">
        <f>SUMIFS(Payments!$C:$C,Payments!$B:$B,B5,Payments!$F:$F,B7)+SUMIFS(Payments!$D:$D,Payments!$B:$B,B5,Payments!$F:$F,B7)</f>
        <v/>
      </c>
    </row>
    <row r="9">
      <c r="A9" t="inlineStr">
        <is>
          <t>Cost of materials £</t>
        </is>
      </c>
      <c r="B9" s="11">
        <f>SUMIFS(Payments!$D:$D,Payments!$B:$B,B5,Payments!$F:$F,B7)</f>
        <v/>
      </c>
    </row>
    <row r="10">
      <c r="A10" t="inlineStr">
        <is>
          <t>Amount liable to deduction £</t>
        </is>
      </c>
      <c r="B10" s="11">
        <f>B8-B9</f>
        <v/>
      </c>
    </row>
    <row r="11">
      <c r="A11" t="inlineStr">
        <is>
          <t>Amount deducted £</t>
        </is>
      </c>
      <c r="B11" s="11">
        <f>SUMIFS(Payments!$H:$H,Payments!$B:$B,B5,Payments!$F:$F,B7)</f>
        <v/>
      </c>
    </row>
    <row r="13">
      <c r="A13" t="inlineStr">
        <is>
          <t>Give this to the subcontractor within 14 days of the end of the tax month. Keep a copy.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3" customWidth="1" min="3" max="3"/>
    <col width="13" customWidth="1" min="4" max="4"/>
    <col width="14" customWidth="1" min="5" max="5"/>
    <col width="18" customWidth="1" min="6" max="6"/>
  </cols>
  <sheetData>
    <row r="1">
      <c r="A1" s="5" t="inlineStr">
        <is>
          <t>Date</t>
        </is>
      </c>
      <c r="B1" s="5" t="inlineStr">
        <is>
          <t>Contractor</t>
        </is>
      </c>
      <c r="C1" s="5" t="inlineStr">
        <is>
          <t>Gross paid £</t>
        </is>
      </c>
      <c r="D1" s="5" t="inlineStr">
        <is>
          <t>Materials £</t>
        </is>
      </c>
      <c r="E1" s="5" t="inlineStr">
        <is>
          <t>CIS deducted £</t>
        </is>
      </c>
      <c r="F1" s="5" t="inlineStr">
        <is>
          <t>Statement received?</t>
        </is>
      </c>
      <c r="H1" s="13" t="inlineStr">
        <is>
          <t>Total deducted £</t>
        </is>
      </c>
      <c r="I1" s="11">
        <f>SUM(E2:E201)</f>
        <v/>
      </c>
    </row>
    <row r="2">
      <c r="A2" s="8" t="n"/>
      <c r="B2" s="6" t="n"/>
      <c r="C2" s="9" t="n"/>
      <c r="D2" s="9" t="n"/>
      <c r="E2" s="9" t="n"/>
      <c r="F2" s="6" t="n"/>
      <c r="H2" t="inlineStr">
        <is>
          <t>Enter this total in your Self Assessment ('CIS deductions') to reduce your tax bill or get a refund.</t>
        </is>
      </c>
    </row>
    <row r="3">
      <c r="A3" s="8" t="n"/>
      <c r="B3" s="6" t="n"/>
      <c r="C3" s="9" t="n"/>
      <c r="D3" s="9" t="n"/>
      <c r="E3" s="9" t="n"/>
      <c r="F3" s="6" t="n"/>
    </row>
    <row r="4">
      <c r="A4" s="8" t="n"/>
      <c r="B4" s="6" t="n"/>
      <c r="C4" s="9" t="n"/>
      <c r="D4" s="9" t="n"/>
      <c r="E4" s="9" t="n"/>
      <c r="F4" s="6" t="n"/>
    </row>
    <row r="5">
      <c r="A5" s="8" t="n"/>
      <c r="B5" s="6" t="n"/>
      <c r="C5" s="9" t="n"/>
      <c r="D5" s="9" t="n"/>
      <c r="E5" s="9" t="n"/>
      <c r="F5" s="6" t="n"/>
    </row>
    <row r="6">
      <c r="A6" s="8" t="n"/>
      <c r="B6" s="6" t="n"/>
      <c r="C6" s="9" t="n"/>
      <c r="D6" s="9" t="n"/>
      <c r="E6" s="9" t="n"/>
      <c r="F6" s="6" t="n"/>
    </row>
    <row r="7">
      <c r="A7" s="8" t="n"/>
      <c r="B7" s="6" t="n"/>
      <c r="C7" s="9" t="n"/>
      <c r="D7" s="9" t="n"/>
      <c r="E7" s="9" t="n"/>
      <c r="F7" s="6" t="n"/>
    </row>
    <row r="8">
      <c r="A8" s="8" t="n"/>
      <c r="B8" s="6" t="n"/>
      <c r="C8" s="9" t="n"/>
      <c r="D8" s="9" t="n"/>
      <c r="E8" s="9" t="n"/>
      <c r="F8" s="6" t="n"/>
    </row>
    <row r="9">
      <c r="A9" s="8" t="n"/>
      <c r="B9" s="6" t="n"/>
      <c r="C9" s="9" t="n"/>
      <c r="D9" s="9" t="n"/>
      <c r="E9" s="9" t="n"/>
      <c r="F9" s="6" t="n"/>
    </row>
    <row r="10">
      <c r="A10" s="8" t="n"/>
      <c r="B10" s="6" t="n"/>
      <c r="C10" s="9" t="n"/>
      <c r="D10" s="9" t="n"/>
      <c r="E10" s="9" t="n"/>
      <c r="F10" s="6" t="n"/>
    </row>
    <row r="11">
      <c r="A11" s="8" t="n"/>
      <c r="B11" s="6" t="n"/>
      <c r="C11" s="9" t="n"/>
      <c r="D11" s="9" t="n"/>
      <c r="E11" s="9" t="n"/>
      <c r="F11" s="6" t="n"/>
    </row>
    <row r="12">
      <c r="A12" s="8" t="n"/>
      <c r="B12" s="6" t="n"/>
      <c r="C12" s="9" t="n"/>
      <c r="D12" s="9" t="n"/>
      <c r="E12" s="9" t="n"/>
      <c r="F12" s="6" t="n"/>
    </row>
    <row r="13">
      <c r="A13" s="8" t="n"/>
      <c r="B13" s="6" t="n"/>
      <c r="C13" s="9" t="n"/>
      <c r="D13" s="9" t="n"/>
      <c r="E13" s="9" t="n"/>
      <c r="F13" s="6" t="n"/>
    </row>
    <row r="14">
      <c r="A14" s="8" t="n"/>
      <c r="B14" s="6" t="n"/>
      <c r="C14" s="9" t="n"/>
      <c r="D14" s="9" t="n"/>
      <c r="E14" s="9" t="n"/>
      <c r="F14" s="6" t="n"/>
    </row>
    <row r="15">
      <c r="A15" s="8" t="n"/>
      <c r="B15" s="6" t="n"/>
      <c r="C15" s="9" t="n"/>
      <c r="D15" s="9" t="n"/>
      <c r="E15" s="9" t="n"/>
      <c r="F15" s="6" t="n"/>
    </row>
    <row r="16">
      <c r="A16" s="8" t="n"/>
      <c r="B16" s="6" t="n"/>
      <c r="C16" s="9" t="n"/>
      <c r="D16" s="9" t="n"/>
      <c r="E16" s="9" t="n"/>
      <c r="F16" s="6" t="n"/>
    </row>
    <row r="17">
      <c r="A17" s="8" t="n"/>
      <c r="B17" s="6" t="n"/>
      <c r="C17" s="9" t="n"/>
      <c r="D17" s="9" t="n"/>
      <c r="E17" s="9" t="n"/>
      <c r="F17" s="6" t="n"/>
    </row>
    <row r="18">
      <c r="A18" s="8" t="n"/>
      <c r="B18" s="6" t="n"/>
      <c r="C18" s="9" t="n"/>
      <c r="D18" s="9" t="n"/>
      <c r="E18" s="9" t="n"/>
      <c r="F18" s="6" t="n"/>
    </row>
    <row r="19">
      <c r="A19" s="8" t="n"/>
      <c r="B19" s="6" t="n"/>
      <c r="C19" s="9" t="n"/>
      <c r="D19" s="9" t="n"/>
      <c r="E19" s="9" t="n"/>
      <c r="F19" s="6" t="n"/>
    </row>
    <row r="20">
      <c r="A20" s="8" t="n"/>
      <c r="B20" s="6" t="n"/>
      <c r="C20" s="9" t="n"/>
      <c r="D20" s="9" t="n"/>
      <c r="E20" s="9" t="n"/>
      <c r="F20" s="6" t="n"/>
    </row>
    <row r="21">
      <c r="A21" s="8" t="n"/>
      <c r="B21" s="6" t="n"/>
      <c r="C21" s="9" t="n"/>
      <c r="D21" s="9" t="n"/>
      <c r="E21" s="9" t="n"/>
      <c r="F21" s="6" t="n"/>
    </row>
    <row r="22">
      <c r="A22" s="8" t="n"/>
      <c r="B22" s="6" t="n"/>
      <c r="C22" s="9" t="n"/>
      <c r="D22" s="9" t="n"/>
      <c r="E22" s="9" t="n"/>
      <c r="F22" s="6" t="n"/>
    </row>
    <row r="23">
      <c r="A23" s="8" t="n"/>
      <c r="B23" s="6" t="n"/>
      <c r="C23" s="9" t="n"/>
      <c r="D23" s="9" t="n"/>
      <c r="E23" s="9" t="n"/>
      <c r="F23" s="6" t="n"/>
    </row>
    <row r="24">
      <c r="A24" s="8" t="n"/>
      <c r="B24" s="6" t="n"/>
      <c r="C24" s="9" t="n"/>
      <c r="D24" s="9" t="n"/>
      <c r="E24" s="9" t="n"/>
      <c r="F24" s="6" t="n"/>
    </row>
    <row r="25">
      <c r="A25" s="8" t="n"/>
      <c r="B25" s="6" t="n"/>
      <c r="C25" s="9" t="n"/>
      <c r="D25" s="9" t="n"/>
      <c r="E25" s="9" t="n"/>
      <c r="F25" s="6" t="n"/>
    </row>
    <row r="26">
      <c r="A26" s="8" t="n"/>
      <c r="B26" s="6" t="n"/>
      <c r="C26" s="9" t="n"/>
      <c r="D26" s="9" t="n"/>
      <c r="E26" s="9" t="n"/>
      <c r="F26" s="6" t="n"/>
    </row>
    <row r="27">
      <c r="A27" s="8" t="n"/>
      <c r="B27" s="6" t="n"/>
      <c r="C27" s="9" t="n"/>
      <c r="D27" s="9" t="n"/>
      <c r="E27" s="9" t="n"/>
      <c r="F27" s="6" t="n"/>
    </row>
    <row r="28">
      <c r="A28" s="8" t="n"/>
      <c r="B28" s="6" t="n"/>
      <c r="C28" s="9" t="n"/>
      <c r="D28" s="9" t="n"/>
      <c r="E28" s="9" t="n"/>
      <c r="F28" s="6" t="n"/>
    </row>
    <row r="29">
      <c r="A29" s="8" t="n"/>
      <c r="B29" s="6" t="n"/>
      <c r="C29" s="9" t="n"/>
      <c r="D29" s="9" t="n"/>
      <c r="E29" s="9" t="n"/>
      <c r="F29" s="6" t="n"/>
    </row>
    <row r="30">
      <c r="A30" s="8" t="n"/>
      <c r="B30" s="6" t="n"/>
      <c r="C30" s="9" t="n"/>
      <c r="D30" s="9" t="n"/>
      <c r="E30" s="9" t="n"/>
      <c r="F30" s="6" t="n"/>
    </row>
    <row r="31">
      <c r="A31" s="8" t="n"/>
      <c r="B31" s="6" t="n"/>
      <c r="C31" s="9" t="n"/>
      <c r="D31" s="9" t="n"/>
      <c r="E31" s="9" t="n"/>
      <c r="F31" s="6" t="n"/>
    </row>
    <row r="32">
      <c r="A32" s="8" t="n"/>
      <c r="B32" s="6" t="n"/>
      <c r="C32" s="9" t="n"/>
      <c r="D32" s="9" t="n"/>
      <c r="E32" s="9" t="n"/>
      <c r="F32" s="6" t="n"/>
    </row>
    <row r="33">
      <c r="A33" s="8" t="n"/>
      <c r="B33" s="6" t="n"/>
      <c r="C33" s="9" t="n"/>
      <c r="D33" s="9" t="n"/>
      <c r="E33" s="9" t="n"/>
      <c r="F33" s="6" t="n"/>
    </row>
    <row r="34">
      <c r="A34" s="8" t="n"/>
      <c r="B34" s="6" t="n"/>
      <c r="C34" s="9" t="n"/>
      <c r="D34" s="9" t="n"/>
      <c r="E34" s="9" t="n"/>
      <c r="F34" s="6" t="n"/>
    </row>
    <row r="35">
      <c r="A35" s="8" t="n"/>
      <c r="B35" s="6" t="n"/>
      <c r="C35" s="9" t="n"/>
      <c r="D35" s="9" t="n"/>
      <c r="E35" s="9" t="n"/>
      <c r="F35" s="6" t="n"/>
    </row>
    <row r="36">
      <c r="A36" s="8" t="n"/>
      <c r="B36" s="6" t="n"/>
      <c r="C36" s="9" t="n"/>
      <c r="D36" s="9" t="n"/>
      <c r="E36" s="9" t="n"/>
      <c r="F36" s="6" t="n"/>
    </row>
    <row r="37">
      <c r="A37" s="8" t="n"/>
      <c r="B37" s="6" t="n"/>
      <c r="C37" s="9" t="n"/>
      <c r="D37" s="9" t="n"/>
      <c r="E37" s="9" t="n"/>
      <c r="F37" s="6" t="n"/>
    </row>
    <row r="38">
      <c r="A38" s="8" t="n"/>
      <c r="B38" s="6" t="n"/>
      <c r="C38" s="9" t="n"/>
      <c r="D38" s="9" t="n"/>
      <c r="E38" s="9" t="n"/>
      <c r="F38" s="6" t="n"/>
    </row>
    <row r="39">
      <c r="A39" s="8" t="n"/>
      <c r="B39" s="6" t="n"/>
      <c r="C39" s="9" t="n"/>
      <c r="D39" s="9" t="n"/>
      <c r="E39" s="9" t="n"/>
      <c r="F39" s="6" t="n"/>
    </row>
    <row r="40">
      <c r="A40" s="8" t="n"/>
      <c r="B40" s="6" t="n"/>
      <c r="C40" s="9" t="n"/>
      <c r="D40" s="9" t="n"/>
      <c r="E40" s="9" t="n"/>
      <c r="F40" s="6" t="n"/>
    </row>
    <row r="41">
      <c r="A41" s="8" t="n"/>
      <c r="B41" s="6" t="n"/>
      <c r="C41" s="9" t="n"/>
      <c r="D41" s="9" t="n"/>
      <c r="E41" s="9" t="n"/>
      <c r="F41" s="6" t="n"/>
    </row>
    <row r="42">
      <c r="A42" s="8" t="n"/>
      <c r="B42" s="6" t="n"/>
      <c r="C42" s="9" t="n"/>
      <c r="D42" s="9" t="n"/>
      <c r="E42" s="9" t="n"/>
      <c r="F42" s="6" t="n"/>
    </row>
    <row r="43">
      <c r="A43" s="8" t="n"/>
      <c r="B43" s="6" t="n"/>
      <c r="C43" s="9" t="n"/>
      <c r="D43" s="9" t="n"/>
      <c r="E43" s="9" t="n"/>
      <c r="F43" s="6" t="n"/>
    </row>
    <row r="44">
      <c r="A44" s="8" t="n"/>
      <c r="B44" s="6" t="n"/>
      <c r="C44" s="9" t="n"/>
      <c r="D44" s="9" t="n"/>
      <c r="E44" s="9" t="n"/>
      <c r="F44" s="6" t="n"/>
    </row>
    <row r="45">
      <c r="A45" s="8" t="n"/>
      <c r="B45" s="6" t="n"/>
      <c r="C45" s="9" t="n"/>
      <c r="D45" s="9" t="n"/>
      <c r="E45" s="9" t="n"/>
      <c r="F45" s="6" t="n"/>
    </row>
    <row r="46">
      <c r="A46" s="8" t="n"/>
      <c r="B46" s="6" t="n"/>
      <c r="C46" s="9" t="n"/>
      <c r="D46" s="9" t="n"/>
      <c r="E46" s="9" t="n"/>
      <c r="F46" s="6" t="n"/>
    </row>
    <row r="47">
      <c r="A47" s="8" t="n"/>
      <c r="B47" s="6" t="n"/>
      <c r="C47" s="9" t="n"/>
      <c r="D47" s="9" t="n"/>
      <c r="E47" s="9" t="n"/>
      <c r="F47" s="6" t="n"/>
    </row>
    <row r="48">
      <c r="A48" s="8" t="n"/>
      <c r="B48" s="6" t="n"/>
      <c r="C48" s="9" t="n"/>
      <c r="D48" s="9" t="n"/>
      <c r="E48" s="9" t="n"/>
      <c r="F48" s="6" t="n"/>
    </row>
    <row r="49">
      <c r="A49" s="8" t="n"/>
      <c r="B49" s="6" t="n"/>
      <c r="C49" s="9" t="n"/>
      <c r="D49" s="9" t="n"/>
      <c r="E49" s="9" t="n"/>
      <c r="F49" s="6" t="n"/>
    </row>
    <row r="50">
      <c r="A50" s="8" t="n"/>
      <c r="B50" s="6" t="n"/>
      <c r="C50" s="9" t="n"/>
      <c r="D50" s="9" t="n"/>
      <c r="E50" s="9" t="n"/>
      <c r="F50" s="6" t="n"/>
    </row>
    <row r="51">
      <c r="A51" s="8" t="n"/>
      <c r="B51" s="6" t="n"/>
      <c r="C51" s="9" t="n"/>
      <c r="D51" s="9" t="n"/>
      <c r="E51" s="9" t="n"/>
      <c r="F51" s="6" t="n"/>
    </row>
    <row r="52">
      <c r="A52" s="8" t="n"/>
      <c r="B52" s="6" t="n"/>
      <c r="C52" s="9" t="n"/>
      <c r="D52" s="9" t="n"/>
      <c r="E52" s="9" t="n"/>
      <c r="F52" s="6" t="n"/>
    </row>
    <row r="53">
      <c r="A53" s="8" t="n"/>
      <c r="B53" s="6" t="n"/>
      <c r="C53" s="9" t="n"/>
      <c r="D53" s="9" t="n"/>
      <c r="E53" s="9" t="n"/>
      <c r="F53" s="6" t="n"/>
    </row>
    <row r="54">
      <c r="A54" s="8" t="n"/>
      <c r="B54" s="6" t="n"/>
      <c r="C54" s="9" t="n"/>
      <c r="D54" s="9" t="n"/>
      <c r="E54" s="9" t="n"/>
      <c r="F54" s="6" t="n"/>
    </row>
    <row r="55">
      <c r="A55" s="8" t="n"/>
      <c r="B55" s="6" t="n"/>
      <c r="C55" s="9" t="n"/>
      <c r="D55" s="9" t="n"/>
      <c r="E55" s="9" t="n"/>
      <c r="F55" s="6" t="n"/>
    </row>
    <row r="56">
      <c r="A56" s="8" t="n"/>
      <c r="B56" s="6" t="n"/>
      <c r="C56" s="9" t="n"/>
      <c r="D56" s="9" t="n"/>
      <c r="E56" s="9" t="n"/>
      <c r="F56" s="6" t="n"/>
    </row>
    <row r="57">
      <c r="A57" s="8" t="n"/>
      <c r="B57" s="6" t="n"/>
      <c r="C57" s="9" t="n"/>
      <c r="D57" s="9" t="n"/>
      <c r="E57" s="9" t="n"/>
      <c r="F57" s="6" t="n"/>
    </row>
    <row r="58">
      <c r="A58" s="8" t="n"/>
      <c r="B58" s="6" t="n"/>
      <c r="C58" s="9" t="n"/>
      <c r="D58" s="9" t="n"/>
      <c r="E58" s="9" t="n"/>
      <c r="F58" s="6" t="n"/>
    </row>
    <row r="59">
      <c r="A59" s="8" t="n"/>
      <c r="B59" s="6" t="n"/>
      <c r="C59" s="9" t="n"/>
      <c r="D59" s="9" t="n"/>
      <c r="E59" s="9" t="n"/>
      <c r="F59" s="6" t="n"/>
    </row>
    <row r="60">
      <c r="A60" s="8" t="n"/>
      <c r="B60" s="6" t="n"/>
      <c r="C60" s="9" t="n"/>
      <c r="D60" s="9" t="n"/>
      <c r="E60" s="9" t="n"/>
      <c r="F60" s="6" t="n"/>
    </row>
    <row r="61">
      <c r="A61" s="8" t="n"/>
      <c r="B61" s="6" t="n"/>
      <c r="C61" s="9" t="n"/>
      <c r="D61" s="9" t="n"/>
      <c r="E61" s="9" t="n"/>
      <c r="F61" s="6" t="n"/>
    </row>
    <row r="62">
      <c r="A62" s="8" t="n"/>
      <c r="B62" s="6" t="n"/>
      <c r="C62" s="9" t="n"/>
      <c r="D62" s="9" t="n"/>
      <c r="E62" s="9" t="n"/>
      <c r="F62" s="6" t="n"/>
    </row>
    <row r="63">
      <c r="A63" s="8" t="n"/>
      <c r="B63" s="6" t="n"/>
      <c r="C63" s="9" t="n"/>
      <c r="D63" s="9" t="n"/>
      <c r="E63" s="9" t="n"/>
      <c r="F63" s="6" t="n"/>
    </row>
    <row r="64">
      <c r="A64" s="8" t="n"/>
      <c r="B64" s="6" t="n"/>
      <c r="C64" s="9" t="n"/>
      <c r="D64" s="9" t="n"/>
      <c r="E64" s="9" t="n"/>
      <c r="F64" s="6" t="n"/>
    </row>
    <row r="65">
      <c r="A65" s="8" t="n"/>
      <c r="B65" s="6" t="n"/>
      <c r="C65" s="9" t="n"/>
      <c r="D65" s="9" t="n"/>
      <c r="E65" s="9" t="n"/>
      <c r="F65" s="6" t="n"/>
    </row>
    <row r="66">
      <c r="A66" s="8" t="n"/>
      <c r="B66" s="6" t="n"/>
      <c r="C66" s="9" t="n"/>
      <c r="D66" s="9" t="n"/>
      <c r="E66" s="9" t="n"/>
      <c r="F66" s="6" t="n"/>
    </row>
    <row r="67">
      <c r="A67" s="8" t="n"/>
      <c r="B67" s="6" t="n"/>
      <c r="C67" s="9" t="n"/>
      <c r="D67" s="9" t="n"/>
      <c r="E67" s="9" t="n"/>
      <c r="F67" s="6" t="n"/>
    </row>
    <row r="68">
      <c r="A68" s="8" t="n"/>
      <c r="B68" s="6" t="n"/>
      <c r="C68" s="9" t="n"/>
      <c r="D68" s="9" t="n"/>
      <c r="E68" s="9" t="n"/>
      <c r="F68" s="6" t="n"/>
    </row>
    <row r="69">
      <c r="A69" s="8" t="n"/>
      <c r="B69" s="6" t="n"/>
      <c r="C69" s="9" t="n"/>
      <c r="D69" s="9" t="n"/>
      <c r="E69" s="9" t="n"/>
      <c r="F69" s="6" t="n"/>
    </row>
    <row r="70">
      <c r="A70" s="8" t="n"/>
      <c r="B70" s="6" t="n"/>
      <c r="C70" s="9" t="n"/>
      <c r="D70" s="9" t="n"/>
      <c r="E70" s="9" t="n"/>
      <c r="F70" s="6" t="n"/>
    </row>
    <row r="71">
      <c r="A71" s="8" t="n"/>
      <c r="B71" s="6" t="n"/>
      <c r="C71" s="9" t="n"/>
      <c r="D71" s="9" t="n"/>
      <c r="E71" s="9" t="n"/>
      <c r="F71" s="6" t="n"/>
    </row>
    <row r="72">
      <c r="A72" s="8" t="n"/>
      <c r="B72" s="6" t="n"/>
      <c r="C72" s="9" t="n"/>
      <c r="D72" s="9" t="n"/>
      <c r="E72" s="9" t="n"/>
      <c r="F72" s="6" t="n"/>
    </row>
    <row r="73">
      <c r="A73" s="8" t="n"/>
      <c r="B73" s="6" t="n"/>
      <c r="C73" s="9" t="n"/>
      <c r="D73" s="9" t="n"/>
      <c r="E73" s="9" t="n"/>
      <c r="F73" s="6" t="n"/>
    </row>
    <row r="74">
      <c r="A74" s="8" t="n"/>
      <c r="B74" s="6" t="n"/>
      <c r="C74" s="9" t="n"/>
      <c r="D74" s="9" t="n"/>
      <c r="E74" s="9" t="n"/>
      <c r="F74" s="6" t="n"/>
    </row>
    <row r="75">
      <c r="A75" s="8" t="n"/>
      <c r="B75" s="6" t="n"/>
      <c r="C75" s="9" t="n"/>
      <c r="D75" s="9" t="n"/>
      <c r="E75" s="9" t="n"/>
      <c r="F75" s="6" t="n"/>
    </row>
    <row r="76">
      <c r="A76" s="8" t="n"/>
      <c r="B76" s="6" t="n"/>
      <c r="C76" s="9" t="n"/>
      <c r="D76" s="9" t="n"/>
      <c r="E76" s="9" t="n"/>
      <c r="F76" s="6" t="n"/>
    </row>
    <row r="77">
      <c r="A77" s="8" t="n"/>
      <c r="B77" s="6" t="n"/>
      <c r="C77" s="9" t="n"/>
      <c r="D77" s="9" t="n"/>
      <c r="E77" s="9" t="n"/>
      <c r="F77" s="6" t="n"/>
    </row>
    <row r="78">
      <c r="A78" s="8" t="n"/>
      <c r="B78" s="6" t="n"/>
      <c r="C78" s="9" t="n"/>
      <c r="D78" s="9" t="n"/>
      <c r="E78" s="9" t="n"/>
      <c r="F78" s="6" t="n"/>
    </row>
    <row r="79">
      <c r="A79" s="8" t="n"/>
      <c r="B79" s="6" t="n"/>
      <c r="C79" s="9" t="n"/>
      <c r="D79" s="9" t="n"/>
      <c r="E79" s="9" t="n"/>
      <c r="F79" s="6" t="n"/>
    </row>
    <row r="80">
      <c r="A80" s="8" t="n"/>
      <c r="B80" s="6" t="n"/>
      <c r="C80" s="9" t="n"/>
      <c r="D80" s="9" t="n"/>
      <c r="E80" s="9" t="n"/>
      <c r="F80" s="6" t="n"/>
    </row>
    <row r="81">
      <c r="A81" s="8" t="n"/>
      <c r="B81" s="6" t="n"/>
      <c r="C81" s="9" t="n"/>
      <c r="D81" s="9" t="n"/>
      <c r="E81" s="9" t="n"/>
      <c r="F81" s="6" t="n"/>
    </row>
    <row r="82">
      <c r="A82" s="8" t="n"/>
      <c r="B82" s="6" t="n"/>
      <c r="C82" s="9" t="n"/>
      <c r="D82" s="9" t="n"/>
      <c r="E82" s="9" t="n"/>
      <c r="F82" s="6" t="n"/>
    </row>
    <row r="83">
      <c r="A83" s="8" t="n"/>
      <c r="B83" s="6" t="n"/>
      <c r="C83" s="9" t="n"/>
      <c r="D83" s="9" t="n"/>
      <c r="E83" s="9" t="n"/>
      <c r="F83" s="6" t="n"/>
    </row>
    <row r="84">
      <c r="A84" s="8" t="n"/>
      <c r="B84" s="6" t="n"/>
      <c r="C84" s="9" t="n"/>
      <c r="D84" s="9" t="n"/>
      <c r="E84" s="9" t="n"/>
      <c r="F84" s="6" t="n"/>
    </row>
    <row r="85">
      <c r="A85" s="8" t="n"/>
      <c r="B85" s="6" t="n"/>
      <c r="C85" s="9" t="n"/>
      <c r="D85" s="9" t="n"/>
      <c r="E85" s="9" t="n"/>
      <c r="F85" s="6" t="n"/>
    </row>
    <row r="86">
      <c r="A86" s="8" t="n"/>
      <c r="B86" s="6" t="n"/>
      <c r="C86" s="9" t="n"/>
      <c r="D86" s="9" t="n"/>
      <c r="E86" s="9" t="n"/>
      <c r="F86" s="6" t="n"/>
    </row>
    <row r="87">
      <c r="A87" s="8" t="n"/>
      <c r="B87" s="6" t="n"/>
      <c r="C87" s="9" t="n"/>
      <c r="D87" s="9" t="n"/>
      <c r="E87" s="9" t="n"/>
      <c r="F87" s="6" t="n"/>
    </row>
    <row r="88">
      <c r="A88" s="8" t="n"/>
      <c r="B88" s="6" t="n"/>
      <c r="C88" s="9" t="n"/>
      <c r="D88" s="9" t="n"/>
      <c r="E88" s="9" t="n"/>
      <c r="F88" s="6" t="n"/>
    </row>
    <row r="89">
      <c r="A89" s="8" t="n"/>
      <c r="B89" s="6" t="n"/>
      <c r="C89" s="9" t="n"/>
      <c r="D89" s="9" t="n"/>
      <c r="E89" s="9" t="n"/>
      <c r="F89" s="6" t="n"/>
    </row>
    <row r="90">
      <c r="A90" s="8" t="n"/>
      <c r="B90" s="6" t="n"/>
      <c r="C90" s="9" t="n"/>
      <c r="D90" s="9" t="n"/>
      <c r="E90" s="9" t="n"/>
      <c r="F90" s="6" t="n"/>
    </row>
    <row r="91">
      <c r="A91" s="8" t="n"/>
      <c r="B91" s="6" t="n"/>
      <c r="C91" s="9" t="n"/>
      <c r="D91" s="9" t="n"/>
      <c r="E91" s="9" t="n"/>
      <c r="F91" s="6" t="n"/>
    </row>
    <row r="92">
      <c r="A92" s="8" t="n"/>
      <c r="B92" s="6" t="n"/>
      <c r="C92" s="9" t="n"/>
      <c r="D92" s="9" t="n"/>
      <c r="E92" s="9" t="n"/>
      <c r="F92" s="6" t="n"/>
    </row>
    <row r="93">
      <c r="A93" s="8" t="n"/>
      <c r="B93" s="6" t="n"/>
      <c r="C93" s="9" t="n"/>
      <c r="D93" s="9" t="n"/>
      <c r="E93" s="9" t="n"/>
      <c r="F93" s="6" t="n"/>
    </row>
    <row r="94">
      <c r="A94" s="8" t="n"/>
      <c r="B94" s="6" t="n"/>
      <c r="C94" s="9" t="n"/>
      <c r="D94" s="9" t="n"/>
      <c r="E94" s="9" t="n"/>
      <c r="F94" s="6" t="n"/>
    </row>
    <row r="95">
      <c r="A95" s="8" t="n"/>
      <c r="B95" s="6" t="n"/>
      <c r="C95" s="9" t="n"/>
      <c r="D95" s="9" t="n"/>
      <c r="E95" s="9" t="n"/>
      <c r="F95" s="6" t="n"/>
    </row>
    <row r="96">
      <c r="A96" s="8" t="n"/>
      <c r="B96" s="6" t="n"/>
      <c r="C96" s="9" t="n"/>
      <c r="D96" s="9" t="n"/>
      <c r="E96" s="9" t="n"/>
      <c r="F96" s="6" t="n"/>
    </row>
    <row r="97">
      <c r="A97" s="8" t="n"/>
      <c r="B97" s="6" t="n"/>
      <c r="C97" s="9" t="n"/>
      <c r="D97" s="9" t="n"/>
      <c r="E97" s="9" t="n"/>
      <c r="F97" s="6" t="n"/>
    </row>
    <row r="98">
      <c r="A98" s="8" t="n"/>
      <c r="B98" s="6" t="n"/>
      <c r="C98" s="9" t="n"/>
      <c r="D98" s="9" t="n"/>
      <c r="E98" s="9" t="n"/>
      <c r="F98" s="6" t="n"/>
    </row>
    <row r="99">
      <c r="A99" s="8" t="n"/>
      <c r="B99" s="6" t="n"/>
      <c r="C99" s="9" t="n"/>
      <c r="D99" s="9" t="n"/>
      <c r="E99" s="9" t="n"/>
      <c r="F99" s="6" t="n"/>
    </row>
    <row r="100">
      <c r="A100" s="8" t="n"/>
      <c r="B100" s="6" t="n"/>
      <c r="C100" s="9" t="n"/>
      <c r="D100" s="9" t="n"/>
      <c r="E100" s="9" t="n"/>
      <c r="F100" s="6" t="n"/>
    </row>
    <row r="101">
      <c r="A101" s="8" t="n"/>
      <c r="B101" s="6" t="n"/>
      <c r="C101" s="9" t="n"/>
      <c r="D101" s="9" t="n"/>
      <c r="E101" s="9" t="n"/>
      <c r="F101" s="6" t="n"/>
    </row>
    <row r="102">
      <c r="A102" s="8" t="n"/>
      <c r="B102" s="6" t="n"/>
      <c r="C102" s="9" t="n"/>
      <c r="D102" s="9" t="n"/>
      <c r="E102" s="9" t="n"/>
      <c r="F102" s="6" t="n"/>
    </row>
    <row r="103">
      <c r="A103" s="8" t="n"/>
      <c r="B103" s="6" t="n"/>
      <c r="C103" s="9" t="n"/>
      <c r="D103" s="9" t="n"/>
      <c r="E103" s="9" t="n"/>
      <c r="F103" s="6" t="n"/>
    </row>
    <row r="104">
      <c r="A104" s="8" t="n"/>
      <c r="B104" s="6" t="n"/>
      <c r="C104" s="9" t="n"/>
      <c r="D104" s="9" t="n"/>
      <c r="E104" s="9" t="n"/>
      <c r="F104" s="6" t="n"/>
    </row>
    <row r="105">
      <c r="A105" s="8" t="n"/>
      <c r="B105" s="6" t="n"/>
      <c r="C105" s="9" t="n"/>
      <c r="D105" s="9" t="n"/>
      <c r="E105" s="9" t="n"/>
      <c r="F105" s="6" t="n"/>
    </row>
    <row r="106">
      <c r="A106" s="8" t="n"/>
      <c r="B106" s="6" t="n"/>
      <c r="C106" s="9" t="n"/>
      <c r="D106" s="9" t="n"/>
      <c r="E106" s="9" t="n"/>
      <c r="F106" s="6" t="n"/>
    </row>
    <row r="107">
      <c r="A107" s="8" t="n"/>
      <c r="B107" s="6" t="n"/>
      <c r="C107" s="9" t="n"/>
      <c r="D107" s="9" t="n"/>
      <c r="E107" s="9" t="n"/>
      <c r="F107" s="6" t="n"/>
    </row>
    <row r="108">
      <c r="A108" s="8" t="n"/>
      <c r="B108" s="6" t="n"/>
      <c r="C108" s="9" t="n"/>
      <c r="D108" s="9" t="n"/>
      <c r="E108" s="9" t="n"/>
      <c r="F108" s="6" t="n"/>
    </row>
    <row r="109">
      <c r="A109" s="8" t="n"/>
      <c r="B109" s="6" t="n"/>
      <c r="C109" s="9" t="n"/>
      <c r="D109" s="9" t="n"/>
      <c r="E109" s="9" t="n"/>
      <c r="F109" s="6" t="n"/>
    </row>
    <row r="110">
      <c r="A110" s="8" t="n"/>
      <c r="B110" s="6" t="n"/>
      <c r="C110" s="9" t="n"/>
      <c r="D110" s="9" t="n"/>
      <c r="E110" s="9" t="n"/>
      <c r="F110" s="6" t="n"/>
    </row>
    <row r="111">
      <c r="A111" s="8" t="n"/>
      <c r="B111" s="6" t="n"/>
      <c r="C111" s="9" t="n"/>
      <c r="D111" s="9" t="n"/>
      <c r="E111" s="9" t="n"/>
      <c r="F111" s="6" t="n"/>
    </row>
    <row r="112">
      <c r="A112" s="8" t="n"/>
      <c r="B112" s="6" t="n"/>
      <c r="C112" s="9" t="n"/>
      <c r="D112" s="9" t="n"/>
      <c r="E112" s="9" t="n"/>
      <c r="F112" s="6" t="n"/>
    </row>
    <row r="113">
      <c r="A113" s="8" t="n"/>
      <c r="B113" s="6" t="n"/>
      <c r="C113" s="9" t="n"/>
      <c r="D113" s="9" t="n"/>
      <c r="E113" s="9" t="n"/>
      <c r="F113" s="6" t="n"/>
    </row>
    <row r="114">
      <c r="A114" s="8" t="n"/>
      <c r="B114" s="6" t="n"/>
      <c r="C114" s="9" t="n"/>
      <c r="D114" s="9" t="n"/>
      <c r="E114" s="9" t="n"/>
      <c r="F114" s="6" t="n"/>
    </row>
    <row r="115">
      <c r="A115" s="8" t="n"/>
      <c r="B115" s="6" t="n"/>
      <c r="C115" s="9" t="n"/>
      <c r="D115" s="9" t="n"/>
      <c r="E115" s="9" t="n"/>
      <c r="F115" s="6" t="n"/>
    </row>
    <row r="116">
      <c r="A116" s="8" t="n"/>
      <c r="B116" s="6" t="n"/>
      <c r="C116" s="9" t="n"/>
      <c r="D116" s="9" t="n"/>
      <c r="E116" s="9" t="n"/>
      <c r="F116" s="6" t="n"/>
    </row>
    <row r="117">
      <c r="A117" s="8" t="n"/>
      <c r="B117" s="6" t="n"/>
      <c r="C117" s="9" t="n"/>
      <c r="D117" s="9" t="n"/>
      <c r="E117" s="9" t="n"/>
      <c r="F117" s="6" t="n"/>
    </row>
    <row r="118">
      <c r="A118" s="8" t="n"/>
      <c r="B118" s="6" t="n"/>
      <c r="C118" s="9" t="n"/>
      <c r="D118" s="9" t="n"/>
      <c r="E118" s="9" t="n"/>
      <c r="F118" s="6" t="n"/>
    </row>
    <row r="119">
      <c r="A119" s="8" t="n"/>
      <c r="B119" s="6" t="n"/>
      <c r="C119" s="9" t="n"/>
      <c r="D119" s="9" t="n"/>
      <c r="E119" s="9" t="n"/>
      <c r="F119" s="6" t="n"/>
    </row>
    <row r="120">
      <c r="A120" s="8" t="n"/>
      <c r="B120" s="6" t="n"/>
      <c r="C120" s="9" t="n"/>
      <c r="D120" s="9" t="n"/>
      <c r="E120" s="9" t="n"/>
      <c r="F120" s="6" t="n"/>
    </row>
    <row r="121">
      <c r="A121" s="8" t="n"/>
      <c r="B121" s="6" t="n"/>
      <c r="C121" s="9" t="n"/>
      <c r="D121" s="9" t="n"/>
      <c r="E121" s="9" t="n"/>
      <c r="F121" s="6" t="n"/>
    </row>
    <row r="122">
      <c r="A122" s="8" t="n"/>
      <c r="B122" s="6" t="n"/>
      <c r="C122" s="9" t="n"/>
      <c r="D122" s="9" t="n"/>
      <c r="E122" s="9" t="n"/>
      <c r="F122" s="6" t="n"/>
    </row>
    <row r="123">
      <c r="A123" s="8" t="n"/>
      <c r="B123" s="6" t="n"/>
      <c r="C123" s="9" t="n"/>
      <c r="D123" s="9" t="n"/>
      <c r="E123" s="9" t="n"/>
      <c r="F123" s="6" t="n"/>
    </row>
    <row r="124">
      <c r="A124" s="8" t="n"/>
      <c r="B124" s="6" t="n"/>
      <c r="C124" s="9" t="n"/>
      <c r="D124" s="9" t="n"/>
      <c r="E124" s="9" t="n"/>
      <c r="F124" s="6" t="n"/>
    </row>
    <row r="125">
      <c r="A125" s="8" t="n"/>
      <c r="B125" s="6" t="n"/>
      <c r="C125" s="9" t="n"/>
      <c r="D125" s="9" t="n"/>
      <c r="E125" s="9" t="n"/>
      <c r="F125" s="6" t="n"/>
    </row>
    <row r="126">
      <c r="A126" s="8" t="n"/>
      <c r="B126" s="6" t="n"/>
      <c r="C126" s="9" t="n"/>
      <c r="D126" s="9" t="n"/>
      <c r="E126" s="9" t="n"/>
      <c r="F126" s="6" t="n"/>
    </row>
    <row r="127">
      <c r="A127" s="8" t="n"/>
      <c r="B127" s="6" t="n"/>
      <c r="C127" s="9" t="n"/>
      <c r="D127" s="9" t="n"/>
      <c r="E127" s="9" t="n"/>
      <c r="F127" s="6" t="n"/>
    </row>
    <row r="128">
      <c r="A128" s="8" t="n"/>
      <c r="B128" s="6" t="n"/>
      <c r="C128" s="9" t="n"/>
      <c r="D128" s="9" t="n"/>
      <c r="E128" s="9" t="n"/>
      <c r="F128" s="6" t="n"/>
    </row>
    <row r="129">
      <c r="A129" s="8" t="n"/>
      <c r="B129" s="6" t="n"/>
      <c r="C129" s="9" t="n"/>
      <c r="D129" s="9" t="n"/>
      <c r="E129" s="9" t="n"/>
      <c r="F129" s="6" t="n"/>
    </row>
    <row r="130">
      <c r="A130" s="8" t="n"/>
      <c r="B130" s="6" t="n"/>
      <c r="C130" s="9" t="n"/>
      <c r="D130" s="9" t="n"/>
      <c r="E130" s="9" t="n"/>
      <c r="F130" s="6" t="n"/>
    </row>
    <row r="131">
      <c r="A131" s="8" t="n"/>
      <c r="B131" s="6" t="n"/>
      <c r="C131" s="9" t="n"/>
      <c r="D131" s="9" t="n"/>
      <c r="E131" s="9" t="n"/>
      <c r="F131" s="6" t="n"/>
    </row>
    <row r="132">
      <c r="A132" s="8" t="n"/>
      <c r="B132" s="6" t="n"/>
      <c r="C132" s="9" t="n"/>
      <c r="D132" s="9" t="n"/>
      <c r="E132" s="9" t="n"/>
      <c r="F132" s="6" t="n"/>
    </row>
    <row r="133">
      <c r="A133" s="8" t="n"/>
      <c r="B133" s="6" t="n"/>
      <c r="C133" s="9" t="n"/>
      <c r="D133" s="9" t="n"/>
      <c r="E133" s="9" t="n"/>
      <c r="F133" s="6" t="n"/>
    </row>
    <row r="134">
      <c r="A134" s="8" t="n"/>
      <c r="B134" s="6" t="n"/>
      <c r="C134" s="9" t="n"/>
      <c r="D134" s="9" t="n"/>
      <c r="E134" s="9" t="n"/>
      <c r="F134" s="6" t="n"/>
    </row>
    <row r="135">
      <c r="A135" s="8" t="n"/>
      <c r="B135" s="6" t="n"/>
      <c r="C135" s="9" t="n"/>
      <c r="D135" s="9" t="n"/>
      <c r="E135" s="9" t="n"/>
      <c r="F135" s="6" t="n"/>
    </row>
    <row r="136">
      <c r="A136" s="8" t="n"/>
      <c r="B136" s="6" t="n"/>
      <c r="C136" s="9" t="n"/>
      <c r="D136" s="9" t="n"/>
      <c r="E136" s="9" t="n"/>
      <c r="F136" s="6" t="n"/>
    </row>
    <row r="137">
      <c r="A137" s="8" t="n"/>
      <c r="B137" s="6" t="n"/>
      <c r="C137" s="9" t="n"/>
      <c r="D137" s="9" t="n"/>
      <c r="E137" s="9" t="n"/>
      <c r="F137" s="6" t="n"/>
    </row>
    <row r="138">
      <c r="A138" s="8" t="n"/>
      <c r="B138" s="6" t="n"/>
      <c r="C138" s="9" t="n"/>
      <c r="D138" s="9" t="n"/>
      <c r="E138" s="9" t="n"/>
      <c r="F138" s="6" t="n"/>
    </row>
    <row r="139">
      <c r="A139" s="8" t="n"/>
      <c r="B139" s="6" t="n"/>
      <c r="C139" s="9" t="n"/>
      <c r="D139" s="9" t="n"/>
      <c r="E139" s="9" t="n"/>
      <c r="F139" s="6" t="n"/>
    </row>
    <row r="140">
      <c r="A140" s="8" t="n"/>
      <c r="B140" s="6" t="n"/>
      <c r="C140" s="9" t="n"/>
      <c r="D140" s="9" t="n"/>
      <c r="E140" s="9" t="n"/>
      <c r="F140" s="6" t="n"/>
    </row>
    <row r="141">
      <c r="A141" s="8" t="n"/>
      <c r="B141" s="6" t="n"/>
      <c r="C141" s="9" t="n"/>
      <c r="D141" s="9" t="n"/>
      <c r="E141" s="9" t="n"/>
      <c r="F141" s="6" t="n"/>
    </row>
    <row r="142">
      <c r="A142" s="8" t="n"/>
      <c r="B142" s="6" t="n"/>
      <c r="C142" s="9" t="n"/>
      <c r="D142" s="9" t="n"/>
      <c r="E142" s="9" t="n"/>
      <c r="F142" s="6" t="n"/>
    </row>
    <row r="143">
      <c r="A143" s="8" t="n"/>
      <c r="B143" s="6" t="n"/>
      <c r="C143" s="9" t="n"/>
      <c r="D143" s="9" t="n"/>
      <c r="E143" s="9" t="n"/>
      <c r="F143" s="6" t="n"/>
    </row>
    <row r="144">
      <c r="A144" s="8" t="n"/>
      <c r="B144" s="6" t="n"/>
      <c r="C144" s="9" t="n"/>
      <c r="D144" s="9" t="n"/>
      <c r="E144" s="9" t="n"/>
      <c r="F144" s="6" t="n"/>
    </row>
    <row r="145">
      <c r="A145" s="8" t="n"/>
      <c r="B145" s="6" t="n"/>
      <c r="C145" s="9" t="n"/>
      <c r="D145" s="9" t="n"/>
      <c r="E145" s="9" t="n"/>
      <c r="F145" s="6" t="n"/>
    </row>
    <row r="146">
      <c r="A146" s="8" t="n"/>
      <c r="B146" s="6" t="n"/>
      <c r="C146" s="9" t="n"/>
      <c r="D146" s="9" t="n"/>
      <c r="E146" s="9" t="n"/>
      <c r="F146" s="6" t="n"/>
    </row>
    <row r="147">
      <c r="A147" s="8" t="n"/>
      <c r="B147" s="6" t="n"/>
      <c r="C147" s="9" t="n"/>
      <c r="D147" s="9" t="n"/>
      <c r="E147" s="9" t="n"/>
      <c r="F147" s="6" t="n"/>
    </row>
    <row r="148">
      <c r="A148" s="8" t="n"/>
      <c r="B148" s="6" t="n"/>
      <c r="C148" s="9" t="n"/>
      <c r="D148" s="9" t="n"/>
      <c r="E148" s="9" t="n"/>
      <c r="F148" s="6" t="n"/>
    </row>
    <row r="149">
      <c r="A149" s="8" t="n"/>
      <c r="B149" s="6" t="n"/>
      <c r="C149" s="9" t="n"/>
      <c r="D149" s="9" t="n"/>
      <c r="E149" s="9" t="n"/>
      <c r="F149" s="6" t="n"/>
    </row>
    <row r="150">
      <c r="A150" s="8" t="n"/>
      <c r="B150" s="6" t="n"/>
      <c r="C150" s="9" t="n"/>
      <c r="D150" s="9" t="n"/>
      <c r="E150" s="9" t="n"/>
      <c r="F150" s="6" t="n"/>
    </row>
    <row r="151">
      <c r="A151" s="8" t="n"/>
      <c r="B151" s="6" t="n"/>
      <c r="C151" s="9" t="n"/>
      <c r="D151" s="9" t="n"/>
      <c r="E151" s="9" t="n"/>
      <c r="F151" s="6" t="n"/>
    </row>
    <row r="152">
      <c r="A152" s="8" t="n"/>
      <c r="B152" s="6" t="n"/>
      <c r="C152" s="9" t="n"/>
      <c r="D152" s="9" t="n"/>
      <c r="E152" s="9" t="n"/>
      <c r="F152" s="6" t="n"/>
    </row>
    <row r="153">
      <c r="A153" s="8" t="n"/>
      <c r="B153" s="6" t="n"/>
      <c r="C153" s="9" t="n"/>
      <c r="D153" s="9" t="n"/>
      <c r="E153" s="9" t="n"/>
      <c r="F153" s="6" t="n"/>
    </row>
    <row r="154">
      <c r="A154" s="8" t="n"/>
      <c r="B154" s="6" t="n"/>
      <c r="C154" s="9" t="n"/>
      <c r="D154" s="9" t="n"/>
      <c r="E154" s="9" t="n"/>
      <c r="F154" s="6" t="n"/>
    </row>
    <row r="155">
      <c r="A155" s="8" t="n"/>
      <c r="B155" s="6" t="n"/>
      <c r="C155" s="9" t="n"/>
      <c r="D155" s="9" t="n"/>
      <c r="E155" s="9" t="n"/>
      <c r="F155" s="6" t="n"/>
    </row>
    <row r="156">
      <c r="A156" s="8" t="n"/>
      <c r="B156" s="6" t="n"/>
      <c r="C156" s="9" t="n"/>
      <c r="D156" s="9" t="n"/>
      <c r="E156" s="9" t="n"/>
      <c r="F156" s="6" t="n"/>
    </row>
    <row r="157">
      <c r="A157" s="8" t="n"/>
      <c r="B157" s="6" t="n"/>
      <c r="C157" s="9" t="n"/>
      <c r="D157" s="9" t="n"/>
      <c r="E157" s="9" t="n"/>
      <c r="F157" s="6" t="n"/>
    </row>
    <row r="158">
      <c r="A158" s="8" t="n"/>
      <c r="B158" s="6" t="n"/>
      <c r="C158" s="9" t="n"/>
      <c r="D158" s="9" t="n"/>
      <c r="E158" s="9" t="n"/>
      <c r="F158" s="6" t="n"/>
    </row>
    <row r="159">
      <c r="A159" s="8" t="n"/>
      <c r="B159" s="6" t="n"/>
      <c r="C159" s="9" t="n"/>
      <c r="D159" s="9" t="n"/>
      <c r="E159" s="9" t="n"/>
      <c r="F159" s="6" t="n"/>
    </row>
    <row r="160">
      <c r="A160" s="8" t="n"/>
      <c r="B160" s="6" t="n"/>
      <c r="C160" s="9" t="n"/>
      <c r="D160" s="9" t="n"/>
      <c r="E160" s="9" t="n"/>
      <c r="F160" s="6" t="n"/>
    </row>
    <row r="161">
      <c r="A161" s="8" t="n"/>
      <c r="B161" s="6" t="n"/>
      <c r="C161" s="9" t="n"/>
      <c r="D161" s="9" t="n"/>
      <c r="E161" s="9" t="n"/>
      <c r="F161" s="6" t="n"/>
    </row>
    <row r="162">
      <c r="A162" s="8" t="n"/>
      <c r="B162" s="6" t="n"/>
      <c r="C162" s="9" t="n"/>
      <c r="D162" s="9" t="n"/>
      <c r="E162" s="9" t="n"/>
      <c r="F162" s="6" t="n"/>
    </row>
    <row r="163">
      <c r="A163" s="8" t="n"/>
      <c r="B163" s="6" t="n"/>
      <c r="C163" s="9" t="n"/>
      <c r="D163" s="9" t="n"/>
      <c r="E163" s="9" t="n"/>
      <c r="F163" s="6" t="n"/>
    </row>
    <row r="164">
      <c r="A164" s="8" t="n"/>
      <c r="B164" s="6" t="n"/>
      <c r="C164" s="9" t="n"/>
      <c r="D164" s="9" t="n"/>
      <c r="E164" s="9" t="n"/>
      <c r="F164" s="6" t="n"/>
    </row>
    <row r="165">
      <c r="A165" s="8" t="n"/>
      <c r="B165" s="6" t="n"/>
      <c r="C165" s="9" t="n"/>
      <c r="D165" s="9" t="n"/>
      <c r="E165" s="9" t="n"/>
      <c r="F165" s="6" t="n"/>
    </row>
    <row r="166">
      <c r="A166" s="8" t="n"/>
      <c r="B166" s="6" t="n"/>
      <c r="C166" s="9" t="n"/>
      <c r="D166" s="9" t="n"/>
      <c r="E166" s="9" t="n"/>
      <c r="F166" s="6" t="n"/>
    </row>
    <row r="167">
      <c r="A167" s="8" t="n"/>
      <c r="B167" s="6" t="n"/>
      <c r="C167" s="9" t="n"/>
      <c r="D167" s="9" t="n"/>
      <c r="E167" s="9" t="n"/>
      <c r="F167" s="6" t="n"/>
    </row>
    <row r="168">
      <c r="A168" s="8" t="n"/>
      <c r="B168" s="6" t="n"/>
      <c r="C168" s="9" t="n"/>
      <c r="D168" s="9" t="n"/>
      <c r="E168" s="9" t="n"/>
      <c r="F168" s="6" t="n"/>
    </row>
    <row r="169">
      <c r="A169" s="8" t="n"/>
      <c r="B169" s="6" t="n"/>
      <c r="C169" s="9" t="n"/>
      <c r="D169" s="9" t="n"/>
      <c r="E169" s="9" t="n"/>
      <c r="F169" s="6" t="n"/>
    </row>
    <row r="170">
      <c r="A170" s="8" t="n"/>
      <c r="B170" s="6" t="n"/>
      <c r="C170" s="9" t="n"/>
      <c r="D170" s="9" t="n"/>
      <c r="E170" s="9" t="n"/>
      <c r="F170" s="6" t="n"/>
    </row>
    <row r="171">
      <c r="A171" s="8" t="n"/>
      <c r="B171" s="6" t="n"/>
      <c r="C171" s="9" t="n"/>
      <c r="D171" s="9" t="n"/>
      <c r="E171" s="9" t="n"/>
      <c r="F171" s="6" t="n"/>
    </row>
    <row r="172">
      <c r="A172" s="8" t="n"/>
      <c r="B172" s="6" t="n"/>
      <c r="C172" s="9" t="n"/>
      <c r="D172" s="9" t="n"/>
      <c r="E172" s="9" t="n"/>
      <c r="F172" s="6" t="n"/>
    </row>
    <row r="173">
      <c r="A173" s="8" t="n"/>
      <c r="B173" s="6" t="n"/>
      <c r="C173" s="9" t="n"/>
      <c r="D173" s="9" t="n"/>
      <c r="E173" s="9" t="n"/>
      <c r="F173" s="6" t="n"/>
    </row>
    <row r="174">
      <c r="A174" s="8" t="n"/>
      <c r="B174" s="6" t="n"/>
      <c r="C174" s="9" t="n"/>
      <c r="D174" s="9" t="n"/>
      <c r="E174" s="9" t="n"/>
      <c r="F174" s="6" t="n"/>
    </row>
    <row r="175">
      <c r="A175" s="8" t="n"/>
      <c r="B175" s="6" t="n"/>
      <c r="C175" s="9" t="n"/>
      <c r="D175" s="9" t="n"/>
      <c r="E175" s="9" t="n"/>
      <c r="F175" s="6" t="n"/>
    </row>
    <row r="176">
      <c r="A176" s="8" t="n"/>
      <c r="B176" s="6" t="n"/>
      <c r="C176" s="9" t="n"/>
      <c r="D176" s="9" t="n"/>
      <c r="E176" s="9" t="n"/>
      <c r="F176" s="6" t="n"/>
    </row>
    <row r="177">
      <c r="A177" s="8" t="n"/>
      <c r="B177" s="6" t="n"/>
      <c r="C177" s="9" t="n"/>
      <c r="D177" s="9" t="n"/>
      <c r="E177" s="9" t="n"/>
      <c r="F177" s="6" t="n"/>
    </row>
    <row r="178">
      <c r="A178" s="8" t="n"/>
      <c r="B178" s="6" t="n"/>
      <c r="C178" s="9" t="n"/>
      <c r="D178" s="9" t="n"/>
      <c r="E178" s="9" t="n"/>
      <c r="F178" s="6" t="n"/>
    </row>
    <row r="179">
      <c r="A179" s="8" t="n"/>
      <c r="B179" s="6" t="n"/>
      <c r="C179" s="9" t="n"/>
      <c r="D179" s="9" t="n"/>
      <c r="E179" s="9" t="n"/>
      <c r="F179" s="6" t="n"/>
    </row>
    <row r="180">
      <c r="A180" s="8" t="n"/>
      <c r="B180" s="6" t="n"/>
      <c r="C180" s="9" t="n"/>
      <c r="D180" s="9" t="n"/>
      <c r="E180" s="9" t="n"/>
      <c r="F180" s="6" t="n"/>
    </row>
    <row r="181">
      <c r="A181" s="8" t="n"/>
      <c r="B181" s="6" t="n"/>
      <c r="C181" s="9" t="n"/>
      <c r="D181" s="9" t="n"/>
      <c r="E181" s="9" t="n"/>
      <c r="F181" s="6" t="n"/>
    </row>
    <row r="182">
      <c r="A182" s="8" t="n"/>
      <c r="B182" s="6" t="n"/>
      <c r="C182" s="9" t="n"/>
      <c r="D182" s="9" t="n"/>
      <c r="E182" s="9" t="n"/>
      <c r="F182" s="6" t="n"/>
    </row>
    <row r="183">
      <c r="A183" s="8" t="n"/>
      <c r="B183" s="6" t="n"/>
      <c r="C183" s="9" t="n"/>
      <c r="D183" s="9" t="n"/>
      <c r="E183" s="9" t="n"/>
      <c r="F183" s="6" t="n"/>
    </row>
    <row r="184">
      <c r="A184" s="8" t="n"/>
      <c r="B184" s="6" t="n"/>
      <c r="C184" s="9" t="n"/>
      <c r="D184" s="9" t="n"/>
      <c r="E184" s="9" t="n"/>
      <c r="F184" s="6" t="n"/>
    </row>
    <row r="185">
      <c r="A185" s="8" t="n"/>
      <c r="B185" s="6" t="n"/>
      <c r="C185" s="9" t="n"/>
      <c r="D185" s="9" t="n"/>
      <c r="E185" s="9" t="n"/>
      <c r="F185" s="6" t="n"/>
    </row>
    <row r="186">
      <c r="A186" s="8" t="n"/>
      <c r="B186" s="6" t="n"/>
      <c r="C186" s="9" t="n"/>
      <c r="D186" s="9" t="n"/>
      <c r="E186" s="9" t="n"/>
      <c r="F186" s="6" t="n"/>
    </row>
    <row r="187">
      <c r="A187" s="8" t="n"/>
      <c r="B187" s="6" t="n"/>
      <c r="C187" s="9" t="n"/>
      <c r="D187" s="9" t="n"/>
      <c r="E187" s="9" t="n"/>
      <c r="F187" s="6" t="n"/>
    </row>
    <row r="188">
      <c r="A188" s="8" t="n"/>
      <c r="B188" s="6" t="n"/>
      <c r="C188" s="9" t="n"/>
      <c r="D188" s="9" t="n"/>
      <c r="E188" s="9" t="n"/>
      <c r="F188" s="6" t="n"/>
    </row>
    <row r="189">
      <c r="A189" s="8" t="n"/>
      <c r="B189" s="6" t="n"/>
      <c r="C189" s="9" t="n"/>
      <c r="D189" s="9" t="n"/>
      <c r="E189" s="9" t="n"/>
      <c r="F189" s="6" t="n"/>
    </row>
    <row r="190">
      <c r="A190" s="8" t="n"/>
      <c r="B190" s="6" t="n"/>
      <c r="C190" s="9" t="n"/>
      <c r="D190" s="9" t="n"/>
      <c r="E190" s="9" t="n"/>
      <c r="F190" s="6" t="n"/>
    </row>
    <row r="191">
      <c r="A191" s="8" t="n"/>
      <c r="B191" s="6" t="n"/>
      <c r="C191" s="9" t="n"/>
      <c r="D191" s="9" t="n"/>
      <c r="E191" s="9" t="n"/>
      <c r="F191" s="6" t="n"/>
    </row>
    <row r="192">
      <c r="A192" s="8" t="n"/>
      <c r="B192" s="6" t="n"/>
      <c r="C192" s="9" t="n"/>
      <c r="D192" s="9" t="n"/>
      <c r="E192" s="9" t="n"/>
      <c r="F192" s="6" t="n"/>
    </row>
    <row r="193">
      <c r="A193" s="8" t="n"/>
      <c r="B193" s="6" t="n"/>
      <c r="C193" s="9" t="n"/>
      <c r="D193" s="9" t="n"/>
      <c r="E193" s="9" t="n"/>
      <c r="F193" s="6" t="n"/>
    </row>
    <row r="194">
      <c r="A194" s="8" t="n"/>
      <c r="B194" s="6" t="n"/>
      <c r="C194" s="9" t="n"/>
      <c r="D194" s="9" t="n"/>
      <c r="E194" s="9" t="n"/>
      <c r="F194" s="6" t="n"/>
    </row>
    <row r="195">
      <c r="A195" s="8" t="n"/>
      <c r="B195" s="6" t="n"/>
      <c r="C195" s="9" t="n"/>
      <c r="D195" s="9" t="n"/>
      <c r="E195" s="9" t="n"/>
      <c r="F195" s="6" t="n"/>
    </row>
    <row r="196">
      <c r="A196" s="8" t="n"/>
      <c r="B196" s="6" t="n"/>
      <c r="C196" s="9" t="n"/>
      <c r="D196" s="9" t="n"/>
      <c r="E196" s="9" t="n"/>
      <c r="F196" s="6" t="n"/>
    </row>
    <row r="197">
      <c r="A197" s="8" t="n"/>
      <c r="B197" s="6" t="n"/>
      <c r="C197" s="9" t="n"/>
      <c r="D197" s="9" t="n"/>
      <c r="E197" s="9" t="n"/>
      <c r="F197" s="6" t="n"/>
    </row>
    <row r="198">
      <c r="A198" s="8" t="n"/>
      <c r="B198" s="6" t="n"/>
      <c r="C198" s="9" t="n"/>
      <c r="D198" s="9" t="n"/>
      <c r="E198" s="9" t="n"/>
      <c r="F198" s="6" t="n"/>
    </row>
    <row r="199">
      <c r="A199" s="8" t="n"/>
      <c r="B199" s="6" t="n"/>
      <c r="C199" s="9" t="n"/>
      <c r="D199" s="9" t="n"/>
      <c r="E199" s="9" t="n"/>
      <c r="F199" s="6" t="n"/>
    </row>
    <row r="200">
      <c r="A200" s="8" t="n"/>
      <c r="B200" s="6" t="n"/>
      <c r="C200" s="9" t="n"/>
      <c r="D200" s="9" t="n"/>
      <c r="E200" s="9" t="n"/>
      <c r="F200" s="6" t="n"/>
    </row>
    <row r="201">
      <c r="A201" s="8" t="n"/>
      <c r="B201" s="6" t="n"/>
      <c r="C201" s="9" t="n"/>
      <c r="D201" s="9" t="n"/>
      <c r="E201" s="9" t="n"/>
      <c r="F201"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0" customWidth="1" min="1" max="1"/>
    <col width="8" customWidth="1" min="2" max="2"/>
    <col width="12" customWidth="1" min="3" max="3"/>
    <col width="12" customWidth="1" min="4" max="4"/>
    <col width="16" customWidth="1" min="5" max="5"/>
    <col hidden="1" width="13" customWidth="1" min="6" max="6"/>
  </cols>
  <sheetData>
    <row r="1">
      <c r="A1" s="12" t="inlineStr">
        <is>
          <t>VAT INVOICE – DOMESTIC REVERSE CHARGE</t>
        </is>
      </c>
    </row>
    <row r="3">
      <c r="A3" t="inlineStr">
        <is>
          <t>Your business name</t>
        </is>
      </c>
      <c r="B3" s="6" t="n"/>
    </row>
    <row r="4">
      <c r="A4" t="inlineStr">
        <is>
          <t>Your address</t>
        </is>
      </c>
      <c r="B4" s="6" t="n"/>
    </row>
    <row r="5">
      <c r="A5" t="inlineStr">
        <is>
          <t>Your VAT number</t>
        </is>
      </c>
      <c r="B5" s="6" t="n"/>
    </row>
    <row r="6">
      <c r="A6" t="inlineStr">
        <is>
          <t>Customer name</t>
        </is>
      </c>
      <c r="B6" s="6" t="n"/>
    </row>
    <row r="7">
      <c r="A7" t="inlineStr">
        <is>
          <t>Customer address</t>
        </is>
      </c>
      <c r="B7" s="6" t="n"/>
    </row>
    <row r="8">
      <c r="A8" t="inlineStr">
        <is>
          <t>Customer VAT number</t>
        </is>
      </c>
      <c r="B8" s="6" t="n"/>
    </row>
    <row r="9">
      <c r="A9" t="inlineStr">
        <is>
          <t>Invoice number</t>
        </is>
      </c>
      <c r="B9" s="6" t="n"/>
    </row>
    <row r="10">
      <c r="A10" t="inlineStr">
        <is>
          <t>Invoice date / tax point</t>
        </is>
      </c>
      <c r="B10" s="6" t="n"/>
    </row>
    <row r="12">
      <c r="A12" s="14" t="inlineStr">
        <is>
          <t>Description (mark reverse charge items)</t>
        </is>
      </c>
      <c r="B12" s="14" t="inlineStr">
        <is>
          <t>Qty</t>
        </is>
      </c>
      <c r="C12" s="14" t="inlineStr">
        <is>
          <t>Unit £</t>
        </is>
      </c>
      <c r="D12" s="14" t="inlineStr">
        <is>
          <t>VAT rate</t>
        </is>
      </c>
      <c r="E12" s="14" t="inlineStr">
        <is>
          <t>Net £</t>
        </is>
      </c>
    </row>
    <row r="13">
      <c r="A13" s="6" t="n"/>
      <c r="B13" s="6" t="n"/>
      <c r="C13" s="9" t="n"/>
      <c r="D13" s="6" t="n"/>
      <c r="E13" s="11">
        <f>IF(B13="","",B13*C13)</f>
        <v/>
      </c>
      <c r="F13">
        <f>IF(E13="",0,E13*N(D13))</f>
        <v/>
      </c>
    </row>
    <row r="14">
      <c r="A14" s="6" t="n"/>
      <c r="B14" s="6" t="n"/>
      <c r="C14" s="9" t="n"/>
      <c r="D14" s="6" t="n"/>
      <c r="E14" s="11">
        <f>IF(B14="","",B14*C14)</f>
        <v/>
      </c>
      <c r="F14">
        <f>IF(E14="",0,E14*N(D14))</f>
        <v/>
      </c>
    </row>
    <row r="15">
      <c r="A15" s="6" t="n"/>
      <c r="B15" s="6" t="n"/>
      <c r="C15" s="9" t="n"/>
      <c r="D15" s="6" t="n"/>
      <c r="E15" s="11">
        <f>IF(B15="","",B15*C15)</f>
        <v/>
      </c>
      <c r="F15">
        <f>IF(E15="",0,E15*N(D15))</f>
        <v/>
      </c>
    </row>
    <row r="16">
      <c r="A16" s="6" t="n"/>
      <c r="B16" s="6" t="n"/>
      <c r="C16" s="9" t="n"/>
      <c r="D16" s="6" t="n"/>
      <c r="E16" s="11">
        <f>IF(B16="","",B16*C16)</f>
        <v/>
      </c>
      <c r="F16">
        <f>IF(E16="",0,E16*N(D16))</f>
        <v/>
      </c>
    </row>
    <row r="17">
      <c r="A17" s="6" t="n"/>
      <c r="B17" s="6" t="n"/>
      <c r="C17" s="9" t="n"/>
      <c r="D17" s="6" t="n"/>
      <c r="E17" s="11">
        <f>IF(B17="","",B17*C17)</f>
        <v/>
      </c>
      <c r="F17">
        <f>IF(E17="",0,E17*N(D17))</f>
        <v/>
      </c>
    </row>
    <row r="18">
      <c r="A18" s="6" t="n"/>
      <c r="B18" s="6" t="n"/>
      <c r="C18" s="9" t="n"/>
      <c r="D18" s="6" t="n"/>
      <c r="E18" s="11">
        <f>IF(B18="","",B18*C18)</f>
        <v/>
      </c>
      <c r="F18">
        <f>IF(E18="",0,E18*N(D18))</f>
        <v/>
      </c>
    </row>
    <row r="19">
      <c r="A19" s="6" t="n"/>
      <c r="B19" s="6" t="n"/>
      <c r="C19" s="9" t="n"/>
      <c r="D19" s="6" t="n"/>
      <c r="E19" s="11">
        <f>IF(B19="","",B19*C19)</f>
        <v/>
      </c>
      <c r="F19">
        <f>IF(E19="",0,E19*N(D19))</f>
        <v/>
      </c>
    </row>
    <row r="20">
      <c r="A20" s="6" t="n"/>
      <c r="B20" s="6" t="n"/>
      <c r="C20" s="9" t="n"/>
      <c r="D20" s="6" t="n"/>
      <c r="E20" s="11">
        <f>IF(B20="","",B20*C20)</f>
        <v/>
      </c>
      <c r="F20">
        <f>IF(E20="",0,E20*N(D20))</f>
        <v/>
      </c>
    </row>
    <row r="22">
      <c r="D22" t="inlineStr">
        <is>
          <t>Total (net) £</t>
        </is>
      </c>
      <c r="E22" s="11">
        <f>SUM(E13:E20)</f>
        <v/>
      </c>
    </row>
    <row r="23">
      <c r="D23" t="inlineStr">
        <is>
          <t>VAT to be accounted for by customer £</t>
        </is>
      </c>
      <c r="E23" s="11">
        <f>SUM(F13:F20)</f>
        <v/>
      </c>
    </row>
    <row r="24">
      <c r="D24" t="inlineStr">
        <is>
          <t>Amount payable £</t>
        </is>
      </c>
      <c r="E24" s="11">
        <f>E22</f>
        <v/>
      </c>
    </row>
    <row r="26">
      <c r="A26" s="4" t="inlineStr">
        <is>
          <t>Reverse charge: Customer to account to HMRC for the reverse charge output tax on the VAT exclusive price of items marked 'reverse charge'.</t>
        </is>
      </c>
    </row>
    <row r="28">
      <c r="A28" s="3" t="inlineStr">
        <is>
          <t>Use only when the customer is VAT- and CIS-registered and is not an end user or intermediary. Enter the VAT rate (e.g. 0.2) so the customer can see the VAT they account for. A record-keeping aid, not tax advice. Check gov.uk/what-is-the-construction-industry-scheme and HMRC's VAT reverse charge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2026-09-25T20:42:26Z</dcterms:created>
  <dcterms:modified xsi:type="dcterms:W3CDTF">2026-09-25T20:42:26Z</dcterms:modified>
</cp:coreProperties>
</file>