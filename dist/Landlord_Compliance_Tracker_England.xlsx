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Properties" sheetId="3" state="visible" r:id="rId3"/>
    <sheet name="Compliance" sheetId="4" state="visible" r:id="rId4"/>
    <sheet name="Renters' Rights Act" sheetId="5" state="visible" r:id="rId5"/>
  </sheets>
  <definedNames>
    <definedName name="_xlnm._FilterDatabase" localSheetId="3" hidden="1">'Compliance'!$A$1:$J$101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C00000"/>
    </font>
    <font>
      <i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Landlord compliance tracker – England</t>
        </is>
      </c>
    </row>
    <row r="2">
      <c r="A2" s="2" t="inlineStr">
        <is>
          <t>For landlords letting in England. A record-keeping aid, not legal advice. Rules differ in Wales, Scotland and Northern Ireland. Always check the linked gov.uk source; rules change.</t>
        </is>
      </c>
    </row>
    <row r="3">
      <c r="A3" s="3" t="inlineStr"/>
    </row>
    <row r="4">
      <c r="A4" s="3" t="inlineStr">
        <is>
          <t>1. Properties: list up to 10 properties (yellow cells).</t>
        </is>
      </c>
    </row>
    <row r="5">
      <c r="A5" s="3" t="inlineStr">
        <is>
          <t>2. Compliance: for each property and check, enter the date it was last done (or the expiry date for licences).</t>
        </is>
      </c>
    </row>
    <row r="6">
      <c r="A6" s="3" t="inlineStr">
        <is>
          <t xml:space="preserve">   Next due and status fill in automatically: red = overdue, amber = due within 60 days, green = OK.</t>
        </is>
      </c>
    </row>
    <row r="7">
      <c r="A7" s="3" t="inlineStr">
        <is>
          <t>3. Dashboard: see every overdue and upcoming item at a glance.</t>
        </is>
      </c>
    </row>
    <row r="8">
      <c r="A8" s="3" t="inlineStr">
        <is>
          <t>4. Renters' Rights Act: checklist of changes now in force, with sources.</t>
        </is>
      </c>
    </row>
    <row r="9">
      <c r="A9" s="3" t="inlineStr"/>
    </row>
    <row r="10">
      <c r="A10" s="4" t="inlineStr">
        <is>
          <t>Facts last checked 25 September 2026. Buyers get free updates for 12 months as rules change.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5" t="inlineStr">
        <is>
          <t>Dashboard</t>
        </is>
      </c>
    </row>
    <row r="3">
      <c r="A3" t="inlineStr">
        <is>
          <t>Overdue</t>
        </is>
      </c>
      <c r="B3">
        <f>COUNTIF(Compliance!H2:H101,"OVERDUE")</f>
        <v/>
      </c>
    </row>
    <row r="4">
      <c r="A4" t="inlineStr">
        <is>
          <t>Missing records</t>
        </is>
      </c>
      <c r="B4">
        <f>COUNTIF(Compliance!H2:H101,"Missing")</f>
        <v/>
      </c>
    </row>
    <row r="5">
      <c r="A5" t="inlineStr">
        <is>
          <t>Due within 60 days</t>
        </is>
      </c>
      <c r="B5">
        <f>COUNTIF(Compliance!H2:H101,"Due soon")</f>
        <v/>
      </c>
    </row>
    <row r="6">
      <c r="A6" t="inlineStr">
        <is>
          <t>OK</t>
        </is>
      </c>
      <c r="B6">
        <f>COUNTIF(Compliance!H2:H101,"OK")</f>
        <v/>
      </c>
    </row>
    <row r="8">
      <c r="A8" t="inlineStr">
        <is>
          <t>Filter the Compliance sheet by Status to see which items need action.</t>
        </is>
      </c>
    </row>
    <row r="9">
      <c r="A9" s="6" t="inlineStr">
        <is>
          <t>For landlords letting in England. A record-keeping aid, not legal advice. Rules differ in Wales, Scotland and Northern Ireland. Always check the linked gov.uk source; rules change.</t>
        </is>
      </c>
    </row>
  </sheetData>
  <conditionalFormatting sqref="B3:B4">
    <cfRule type="expression" priority="1" dxfId="0">
      <formula>B3&gt;0</formula>
    </cfRule>
  </conditionalFormatting>
  <conditionalFormatting sqref="B5">
    <cfRule type="expression" priority="2" dxfId="1">
      <formula>B5&gt;0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8" customWidth="1" min="3" max="3"/>
    <col width="14" customWidth="1" min="4" max="4"/>
    <col width="26" customWidth="1" min="5" max="5"/>
    <col width="30" customWidth="1" min="6" max="6"/>
  </cols>
  <sheetData>
    <row r="1">
      <c r="A1" s="7" t="inlineStr">
        <is>
          <t>#</t>
        </is>
      </c>
      <c r="B1" s="7" t="inlineStr">
        <is>
          <t>Address</t>
        </is>
      </c>
      <c r="C1" s="7" t="inlineStr">
        <is>
          <t>Tenant name(s)</t>
        </is>
      </c>
      <c r="D1" s="7" t="inlineStr">
        <is>
          <t>Tenancy start</t>
        </is>
      </c>
      <c r="E1" s="7" t="inlineStr">
        <is>
          <t>Deposit scheme + ref</t>
        </is>
      </c>
      <c r="F1" s="7" t="inlineStr">
        <is>
          <t>Notes</t>
        </is>
      </c>
    </row>
    <row r="2">
      <c r="A2" t="n">
        <v>1</v>
      </c>
      <c r="B2" s="8" t="n"/>
      <c r="C2" s="8" t="n"/>
      <c r="D2" s="9" t="n"/>
      <c r="E2" s="8" t="n"/>
      <c r="F2" s="8" t="n"/>
    </row>
    <row r="3">
      <c r="A3" t="n">
        <v>2</v>
      </c>
      <c r="B3" s="8" t="n"/>
      <c r="C3" s="8" t="n"/>
      <c r="D3" s="9" t="n"/>
      <c r="E3" s="8" t="n"/>
      <c r="F3" s="8" t="n"/>
    </row>
    <row r="4">
      <c r="A4" t="n">
        <v>3</v>
      </c>
      <c r="B4" s="8" t="n"/>
      <c r="C4" s="8" t="n"/>
      <c r="D4" s="9" t="n"/>
      <c r="E4" s="8" t="n"/>
      <c r="F4" s="8" t="n"/>
    </row>
    <row r="5">
      <c r="A5" t="n">
        <v>4</v>
      </c>
      <c r="B5" s="8" t="n"/>
      <c r="C5" s="8" t="n"/>
      <c r="D5" s="9" t="n"/>
      <c r="E5" s="8" t="n"/>
      <c r="F5" s="8" t="n"/>
    </row>
    <row r="6">
      <c r="A6" t="n">
        <v>5</v>
      </c>
      <c r="B6" s="8" t="n"/>
      <c r="C6" s="8" t="n"/>
      <c r="D6" s="9" t="n"/>
      <c r="E6" s="8" t="n"/>
      <c r="F6" s="8" t="n"/>
    </row>
    <row r="7">
      <c r="A7" t="n">
        <v>6</v>
      </c>
      <c r="B7" s="8" t="n"/>
      <c r="C7" s="8" t="n"/>
      <c r="D7" s="9" t="n"/>
      <c r="E7" s="8" t="n"/>
      <c r="F7" s="8" t="n"/>
    </row>
    <row r="8">
      <c r="A8" t="n">
        <v>7</v>
      </c>
      <c r="B8" s="8" t="n"/>
      <c r="C8" s="8" t="n"/>
      <c r="D8" s="9" t="n"/>
      <c r="E8" s="8" t="n"/>
      <c r="F8" s="8" t="n"/>
    </row>
    <row r="9">
      <c r="A9" t="n">
        <v>8</v>
      </c>
      <c r="B9" s="8" t="n"/>
      <c r="C9" s="8" t="n"/>
      <c r="D9" s="9" t="n"/>
      <c r="E9" s="8" t="n"/>
      <c r="F9" s="8" t="n"/>
    </row>
    <row r="10">
      <c r="A10" t="n">
        <v>9</v>
      </c>
      <c r="B10" s="8" t="n"/>
      <c r="C10" s="8" t="n"/>
      <c r="D10" s="9" t="n"/>
      <c r="E10" s="8" t="n"/>
      <c r="F10" s="8" t="n"/>
    </row>
    <row r="11">
      <c r="A11" t="n">
        <v>10</v>
      </c>
      <c r="B11" s="8" t="n"/>
      <c r="C11" s="8" t="n"/>
      <c r="D11" s="9" t="n"/>
      <c r="E11" s="8" t="n"/>
      <c r="F11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38" customWidth="1" min="3" max="3"/>
    <col width="16" customWidth="1" min="4" max="4"/>
    <col width="11" customWidth="1" min="5" max="5"/>
    <col width="14" customWidth="1" min="6" max="6"/>
    <col width="10" customWidth="1" min="7" max="7"/>
    <col width="11" customWidth="1" min="8" max="8"/>
    <col width="70" customWidth="1" min="9" max="9"/>
    <col width="50" customWidth="1" min="10" max="10"/>
  </cols>
  <sheetData>
    <row r="1">
      <c r="A1" s="7" t="inlineStr">
        <is>
          <t>Property #</t>
        </is>
      </c>
      <c r="B1" s="7" t="inlineStr">
        <is>
          <t>Address</t>
        </is>
      </c>
      <c r="C1" s="7" t="inlineStr">
        <is>
          <t>Check</t>
        </is>
      </c>
      <c r="D1" s="7" t="inlineStr">
        <is>
          <t>Last done / expiry</t>
        </is>
      </c>
      <c r="E1" s="7" t="inlineStr">
        <is>
          <t>Interval (months)</t>
        </is>
      </c>
      <c r="F1" s="7" t="inlineStr">
        <is>
          <t>Next due</t>
        </is>
      </c>
      <c r="G1" s="7" t="inlineStr">
        <is>
          <t>Days left</t>
        </is>
      </c>
      <c r="H1" s="7" t="inlineStr">
        <is>
          <t>Status</t>
        </is>
      </c>
      <c r="I1" s="7" t="inlineStr">
        <is>
          <t>Rule</t>
        </is>
      </c>
      <c r="J1" s="7" t="inlineStr">
        <is>
          <t>Source</t>
        </is>
      </c>
    </row>
    <row r="2">
      <c r="A2" t="n">
        <v>1</v>
      </c>
      <c r="B2">
        <f>IF(Properties!B2="","",Properties!B2)</f>
        <v/>
      </c>
      <c r="C2" t="inlineStr">
        <is>
          <t>Gas safety check (CP12)</t>
        </is>
      </c>
      <c r="D2" s="9" t="n"/>
      <c r="E2" t="n">
        <v>12</v>
      </c>
      <c r="F2" s="10">
        <f>IF(D2="","",EDATE(D2,E2))</f>
        <v/>
      </c>
      <c r="G2">
        <f>IF(F2="","",F2-TODAY())</f>
        <v/>
      </c>
      <c r="H2">
        <f>IF(B2="","",IF(F2="",IF(D2="","Missing","Recorded"),IF(G2&lt;0,"OVERDUE",IF(G2&lt;=60,"Due soon","OK"))))</f>
        <v/>
      </c>
      <c r="I2" t="inlineStr">
        <is>
          <t>Every 12 months by a Gas Safe engineer; copy to tenants within 28 days; keep records 2 years.</t>
        </is>
      </c>
      <c r="J2" t="inlineStr">
        <is>
          <t>gov.uk/government/publications/gas-safety-landlords-and-tenants</t>
        </is>
      </c>
    </row>
    <row r="3">
      <c r="A3" t="n">
        <v>1</v>
      </c>
      <c r="B3">
        <f>IF(Properties!B2="","",Properties!B2)</f>
        <v/>
      </c>
      <c r="C3" t="inlineStr">
        <is>
          <t>Electrical safety report (EICR)</t>
        </is>
      </c>
      <c r="D3" s="9" t="n"/>
      <c r="E3" t="n">
        <v>60</v>
      </c>
      <c r="F3" s="10">
        <f>IF(D3="","",EDATE(D3,E3))</f>
        <v/>
      </c>
      <c r="G3">
        <f>IF(F3="","",F3-TODAY())</f>
        <v/>
      </c>
      <c r="H3">
        <f>IF(B3="","",IF(F3="",IF(D3="","Missing","Recorded"),IF(G3&lt;0,"OVERDUE",IF(G3&lt;=60,"Due soon","OK"))))</f>
        <v/>
      </c>
      <c r="I3" t="inlineStr">
        <is>
          <t>At least every 5 years by a qualified person; copy to tenants within 28 days.</t>
        </is>
      </c>
      <c r="J3" t="inlineStr">
        <is>
          <t>gov.uk/government/publications/electrical-safety-standards-in-the-private-rented-sector-guidance-for-landlords-tenants-and-local-authorities</t>
        </is>
      </c>
    </row>
    <row r="4">
      <c r="A4" t="n">
        <v>1</v>
      </c>
      <c r="B4">
        <f>IF(Properties!B2="","",Properties!B2)</f>
        <v/>
      </c>
      <c r="C4" t="inlineStr">
        <is>
          <t>Energy Performance Certificate (EPC)</t>
        </is>
      </c>
      <c r="D4" s="9" t="n"/>
      <c r="E4" t="n">
        <v>120</v>
      </c>
      <c r="F4" s="10">
        <f>IF(D4="","",EDATE(D4,E4))</f>
        <v/>
      </c>
      <c r="G4">
        <f>IF(F4="","",F4-TODAY())</f>
        <v/>
      </c>
      <c r="H4">
        <f>IF(B4="","",IF(F4="",IF(D4="","Missing","Recorded"),IF(G4&lt;0,"OVERDUE",IF(G4&lt;=60,"Due soon","OK"))))</f>
        <v/>
      </c>
      <c r="I4" t="inlineStr">
        <is>
          <t>Valid 10 years; rating must be E or above to let (unless exempt).</t>
        </is>
      </c>
      <c r="J4" t="inlineStr">
        <is>
          <t>gov.uk/guidance/domestic-private-rented-property-minimum-energy-efficiency-standard-landlord-guidance</t>
        </is>
      </c>
    </row>
    <row r="5">
      <c r="A5" t="n">
        <v>1</v>
      </c>
      <c r="B5">
        <f>IF(Properties!B2="","",Properties!B2)</f>
        <v/>
      </c>
      <c r="C5" t="inlineStr">
        <is>
          <t>Smoke alarms tested</t>
        </is>
      </c>
      <c r="D5" s="9" t="n"/>
      <c r="F5" s="10" t="inlineStr"/>
      <c r="G5">
        <f>IF(F5="","",F5-TODAY())</f>
        <v/>
      </c>
      <c r="H5">
        <f>IF(B5="","",IF(F5="",IF(D5="","Missing","Recorded"),IF(G5&lt;0,"OVERDUE",IF(G5&lt;=60,"Due soon","OK"))))</f>
        <v/>
      </c>
      <c r="I5" t="inlineStr">
        <is>
          <t>At least one on every storey used as living accommodation; check working on the first day of each tenancy.</t>
        </is>
      </c>
      <c r="J5" t="inlineStr">
        <is>
          <t>gov.uk/government/publications/smoke-and-carbon-monoxide-alarms-explanatory-booklet-for-landlords</t>
        </is>
      </c>
    </row>
    <row r="6">
      <c r="A6" t="n">
        <v>1</v>
      </c>
      <c r="B6">
        <f>IF(Properties!B2="","",Properties!B2)</f>
        <v/>
      </c>
      <c r="C6" t="inlineStr">
        <is>
          <t>Carbon monoxide alarms tested</t>
        </is>
      </c>
      <c r="D6" s="9" t="n"/>
      <c r="F6" s="10" t="inlineStr"/>
      <c r="G6">
        <f>IF(F6="","",F6-TODAY())</f>
        <v/>
      </c>
      <c r="H6">
        <f>IF(B6="","",IF(F6="",IF(D6="","Missing","Recorded"),IF(G6&lt;0,"OVERDUE",IF(G6&lt;=60,"Due soon","OK"))))</f>
        <v/>
      </c>
      <c r="I6" t="inlineStr">
        <is>
          <t>In any room with a fixed combustion appliance (not gas cookers); check on the first day of each tenancy.</t>
        </is>
      </c>
      <c r="J6" t="inlineStr">
        <is>
          <t>gov.uk/government/publications/smoke-and-carbon-monoxide-alarms-explanatory-booklet-for-landlords</t>
        </is>
      </c>
    </row>
    <row r="7">
      <c r="A7" t="n">
        <v>1</v>
      </c>
      <c r="B7">
        <f>IF(Properties!B2="","",Properties!B2)</f>
        <v/>
      </c>
      <c r="C7" t="inlineStr">
        <is>
          <t>Deposit protected + prescribed information</t>
        </is>
      </c>
      <c r="D7" s="9" t="n"/>
      <c r="F7" s="10" t="inlineStr"/>
      <c r="G7">
        <f>IF(F7="","",F7-TODAY())</f>
        <v/>
      </c>
      <c r="H7">
        <f>IF(B7="","",IF(F7="",IF(D7="","Missing","Recorded"),IF(G7&lt;0,"OVERDUE",IF(G7&lt;=60,"Due soon","OK"))))</f>
        <v/>
      </c>
      <c r="I7" t="inlineStr">
        <is>
          <t>Protect in a government-approved scheme and give prescribed information within 30 days of receiving it.</t>
        </is>
      </c>
      <c r="J7" t="inlineStr">
        <is>
          <t>gov.uk/deposit-protection-schemes-and-landlords</t>
        </is>
      </c>
    </row>
    <row r="8">
      <c r="A8" t="n">
        <v>1</v>
      </c>
      <c r="B8">
        <f>IF(Properties!B2="","",Properties!B2)</f>
        <v/>
      </c>
      <c r="C8" t="inlineStr">
        <is>
          <t>Right to Rent check</t>
        </is>
      </c>
      <c r="D8" s="9" t="n"/>
      <c r="F8" s="10" t="inlineStr"/>
      <c r="G8">
        <f>IF(F8="","",F8-TODAY())</f>
        <v/>
      </c>
      <c r="H8">
        <f>IF(B8="","",IF(F8="",IF(D8="","Missing","Recorded"),IF(G8&lt;0,"OVERDUE",IF(G8&lt;=60,"Due soon","OK"))))</f>
        <v/>
      </c>
      <c r="I8" t="inlineStr">
        <is>
          <t>Before the tenancy starts; repeat check before a time-limited permission expires.</t>
        </is>
      </c>
      <c r="J8" t="inlineStr">
        <is>
          <t>gov.uk/check-tenant-right-to-rent-documents</t>
        </is>
      </c>
    </row>
    <row r="9">
      <c r="A9" t="n">
        <v>1</v>
      </c>
      <c r="B9">
        <f>IF(Properties!B2="","",Properties!B2)</f>
        <v/>
      </c>
      <c r="C9" t="inlineStr">
        <is>
          <t>Licence (HMO / selective) expiry</t>
        </is>
      </c>
      <c r="D9" s="9" t="n"/>
      <c r="F9" s="10">
        <f>IF(D9="","",D9)</f>
        <v/>
      </c>
      <c r="G9">
        <f>IF(F9="","",F9-TODAY())</f>
        <v/>
      </c>
      <c r="H9">
        <f>IF(B9="","",IF(F9="",IF(D9="","Missing","Recorded"),IF(G9&lt;0,"OVERDUE",IF(G9&lt;=60,"Due soon","OK"))))</f>
        <v/>
      </c>
      <c r="I9" t="inlineStr">
        <is>
          <t>If your council requires a licence, enter its expiry date. Licences usually last up to 5 years.</t>
        </is>
      </c>
      <c r="J9" t="inlineStr">
        <is>
          <t>gov.uk/house-in-multiple-occupation-licence</t>
        </is>
      </c>
    </row>
    <row r="10">
      <c r="A10" t="n">
        <v>1</v>
      </c>
      <c r="B10">
        <f>IF(Properties!B2="","",Properties!B2)</f>
        <v/>
      </c>
      <c r="C10" t="inlineStr">
        <is>
          <t>Landlord insurance renewal</t>
        </is>
      </c>
      <c r="D10" s="9" t="n"/>
      <c r="E10" t="n">
        <v>12</v>
      </c>
      <c r="F10" s="10">
        <f>IF(D10="","",EDATE(D10,E10))</f>
        <v/>
      </c>
      <c r="G10">
        <f>IF(F10="","",F10-TODAY())</f>
        <v/>
      </c>
      <c r="H10">
        <f>IF(B10="","",IF(F10="",IF(D10="","Missing","Recorded"),IF(G10&lt;0,"OVERDUE",IF(G10&lt;=60,"Due soon","OK"))))</f>
        <v/>
      </c>
      <c r="I10" t="inlineStr">
        <is>
          <t>Your policy renewal date.</t>
        </is>
      </c>
      <c r="J10" t="inlineStr"/>
    </row>
    <row r="11">
      <c r="A11" t="n">
        <v>1</v>
      </c>
      <c r="B11">
        <f>IF(Properties!B2="","",Properties!B2)</f>
        <v/>
      </c>
      <c r="C11" t="inlineStr">
        <is>
          <t>Legionella risk assessment review</t>
        </is>
      </c>
      <c r="D11" s="9" t="n"/>
      <c r="F11" s="10" t="inlineStr"/>
      <c r="G11">
        <f>IF(F11="","",F11-TODAY())</f>
        <v/>
      </c>
      <c r="H11">
        <f>IF(B11="","",IF(F11="",IF(D11="","Missing","Recorded"),IF(G11&lt;0,"OVERDUE",IF(G11&lt;=60,"Due soon","OK"))))</f>
        <v/>
      </c>
      <c r="I11" t="inlineStr">
        <is>
          <t>Landlords must assess legionella risk. The law sets no fixed interval; review when anything changes.</t>
        </is>
      </c>
      <c r="J11" t="inlineStr">
        <is>
          <t>hse.gov.uk/legionnaires/landlords.htm</t>
        </is>
      </c>
    </row>
    <row r="12">
      <c r="A12" t="n">
        <v>2</v>
      </c>
      <c r="B12">
        <f>IF(Properties!B3="","",Properties!B3)</f>
        <v/>
      </c>
      <c r="C12" t="inlineStr">
        <is>
          <t>Gas safety check (CP12)</t>
        </is>
      </c>
      <c r="D12" s="9" t="n"/>
      <c r="E12" t="n">
        <v>12</v>
      </c>
      <c r="F12" s="10">
        <f>IF(D12="","",EDATE(D12,E12))</f>
        <v/>
      </c>
      <c r="G12">
        <f>IF(F12="","",F12-TODAY())</f>
        <v/>
      </c>
      <c r="H12">
        <f>IF(B12="","",IF(F12="",IF(D12="","Missing","Recorded"),IF(G12&lt;0,"OVERDUE",IF(G12&lt;=60,"Due soon","OK"))))</f>
        <v/>
      </c>
      <c r="I12" t="inlineStr">
        <is>
          <t>Every 12 months by a Gas Safe engineer; copy to tenants within 28 days; keep records 2 years.</t>
        </is>
      </c>
      <c r="J12" t="inlineStr">
        <is>
          <t>gov.uk/government/publications/gas-safety-landlords-and-tenants</t>
        </is>
      </c>
    </row>
    <row r="13">
      <c r="A13" t="n">
        <v>2</v>
      </c>
      <c r="B13">
        <f>IF(Properties!B3="","",Properties!B3)</f>
        <v/>
      </c>
      <c r="C13" t="inlineStr">
        <is>
          <t>Electrical safety report (EICR)</t>
        </is>
      </c>
      <c r="D13" s="9" t="n"/>
      <c r="E13" t="n">
        <v>60</v>
      </c>
      <c r="F13" s="10">
        <f>IF(D13="","",EDATE(D13,E13))</f>
        <v/>
      </c>
      <c r="G13">
        <f>IF(F13="","",F13-TODAY())</f>
        <v/>
      </c>
      <c r="H13">
        <f>IF(B13="","",IF(F13="",IF(D13="","Missing","Recorded"),IF(G13&lt;0,"OVERDUE",IF(G13&lt;=60,"Due soon","OK"))))</f>
        <v/>
      </c>
      <c r="I13" t="inlineStr">
        <is>
          <t>At least every 5 years by a qualified person; copy to tenants within 28 days.</t>
        </is>
      </c>
      <c r="J13" t="inlineStr">
        <is>
          <t>gov.uk/government/publications/electrical-safety-standards-in-the-private-rented-sector-guidance-for-landlords-tenants-and-local-authorities</t>
        </is>
      </c>
    </row>
    <row r="14">
      <c r="A14" t="n">
        <v>2</v>
      </c>
      <c r="B14">
        <f>IF(Properties!B3="","",Properties!B3)</f>
        <v/>
      </c>
      <c r="C14" t="inlineStr">
        <is>
          <t>Energy Performance Certificate (EPC)</t>
        </is>
      </c>
      <c r="D14" s="9" t="n"/>
      <c r="E14" t="n">
        <v>120</v>
      </c>
      <c r="F14" s="10">
        <f>IF(D14="","",EDATE(D14,E14))</f>
        <v/>
      </c>
      <c r="G14">
        <f>IF(F14="","",F14-TODAY())</f>
        <v/>
      </c>
      <c r="H14">
        <f>IF(B14="","",IF(F14="",IF(D14="","Missing","Recorded"),IF(G14&lt;0,"OVERDUE",IF(G14&lt;=60,"Due soon","OK"))))</f>
        <v/>
      </c>
      <c r="I14" t="inlineStr">
        <is>
          <t>Valid 10 years; rating must be E or above to let (unless exempt).</t>
        </is>
      </c>
      <c r="J14" t="inlineStr">
        <is>
          <t>gov.uk/guidance/domestic-private-rented-property-minimum-energy-efficiency-standard-landlord-guidance</t>
        </is>
      </c>
    </row>
    <row r="15">
      <c r="A15" t="n">
        <v>2</v>
      </c>
      <c r="B15">
        <f>IF(Properties!B3="","",Properties!B3)</f>
        <v/>
      </c>
      <c r="C15" t="inlineStr">
        <is>
          <t>Smoke alarms tested</t>
        </is>
      </c>
      <c r="D15" s="9" t="n"/>
      <c r="F15" s="10" t="inlineStr"/>
      <c r="G15">
        <f>IF(F15="","",F15-TODAY())</f>
        <v/>
      </c>
      <c r="H15">
        <f>IF(B15="","",IF(F15="",IF(D15="","Missing","Recorded"),IF(G15&lt;0,"OVERDUE",IF(G15&lt;=60,"Due soon","OK"))))</f>
        <v/>
      </c>
      <c r="I15" t="inlineStr">
        <is>
          <t>At least one on every storey used as living accommodation; check working on the first day of each tenancy.</t>
        </is>
      </c>
      <c r="J15" t="inlineStr">
        <is>
          <t>gov.uk/government/publications/smoke-and-carbon-monoxide-alarms-explanatory-booklet-for-landlords</t>
        </is>
      </c>
    </row>
    <row r="16">
      <c r="A16" t="n">
        <v>2</v>
      </c>
      <c r="B16">
        <f>IF(Properties!B3="","",Properties!B3)</f>
        <v/>
      </c>
      <c r="C16" t="inlineStr">
        <is>
          <t>Carbon monoxide alarms tested</t>
        </is>
      </c>
      <c r="D16" s="9" t="n"/>
      <c r="F16" s="10" t="inlineStr"/>
      <c r="G16">
        <f>IF(F16="","",F16-TODAY())</f>
        <v/>
      </c>
      <c r="H16">
        <f>IF(B16="","",IF(F16="",IF(D16="","Missing","Recorded"),IF(G16&lt;0,"OVERDUE",IF(G16&lt;=60,"Due soon","OK"))))</f>
        <v/>
      </c>
      <c r="I16" t="inlineStr">
        <is>
          <t>In any room with a fixed combustion appliance (not gas cookers); check on the first day of each tenancy.</t>
        </is>
      </c>
      <c r="J16" t="inlineStr">
        <is>
          <t>gov.uk/government/publications/smoke-and-carbon-monoxide-alarms-explanatory-booklet-for-landlords</t>
        </is>
      </c>
    </row>
    <row r="17">
      <c r="A17" t="n">
        <v>2</v>
      </c>
      <c r="B17">
        <f>IF(Properties!B3="","",Properties!B3)</f>
        <v/>
      </c>
      <c r="C17" t="inlineStr">
        <is>
          <t>Deposit protected + prescribed information</t>
        </is>
      </c>
      <c r="D17" s="9" t="n"/>
      <c r="F17" s="10" t="inlineStr"/>
      <c r="G17">
        <f>IF(F17="","",F17-TODAY())</f>
        <v/>
      </c>
      <c r="H17">
        <f>IF(B17="","",IF(F17="",IF(D17="","Missing","Recorded"),IF(G17&lt;0,"OVERDUE",IF(G17&lt;=60,"Due soon","OK"))))</f>
        <v/>
      </c>
      <c r="I17" t="inlineStr">
        <is>
          <t>Protect in a government-approved scheme and give prescribed information within 30 days of receiving it.</t>
        </is>
      </c>
      <c r="J17" t="inlineStr">
        <is>
          <t>gov.uk/deposit-protection-schemes-and-landlords</t>
        </is>
      </c>
    </row>
    <row r="18">
      <c r="A18" t="n">
        <v>2</v>
      </c>
      <c r="B18">
        <f>IF(Properties!B3="","",Properties!B3)</f>
        <v/>
      </c>
      <c r="C18" t="inlineStr">
        <is>
          <t>Right to Rent check</t>
        </is>
      </c>
      <c r="D18" s="9" t="n"/>
      <c r="F18" s="10" t="inlineStr"/>
      <c r="G18">
        <f>IF(F18="","",F18-TODAY())</f>
        <v/>
      </c>
      <c r="H18">
        <f>IF(B18="","",IF(F18="",IF(D18="","Missing","Recorded"),IF(G18&lt;0,"OVERDUE",IF(G18&lt;=60,"Due soon","OK"))))</f>
        <v/>
      </c>
      <c r="I18" t="inlineStr">
        <is>
          <t>Before the tenancy starts; repeat check before a time-limited permission expires.</t>
        </is>
      </c>
      <c r="J18" t="inlineStr">
        <is>
          <t>gov.uk/check-tenant-right-to-rent-documents</t>
        </is>
      </c>
    </row>
    <row r="19">
      <c r="A19" t="n">
        <v>2</v>
      </c>
      <c r="B19">
        <f>IF(Properties!B3="","",Properties!B3)</f>
        <v/>
      </c>
      <c r="C19" t="inlineStr">
        <is>
          <t>Licence (HMO / selective) expiry</t>
        </is>
      </c>
      <c r="D19" s="9" t="n"/>
      <c r="F19" s="10">
        <f>IF(D19="","",D19)</f>
        <v/>
      </c>
      <c r="G19">
        <f>IF(F19="","",F19-TODAY())</f>
        <v/>
      </c>
      <c r="H19">
        <f>IF(B19="","",IF(F19="",IF(D19="","Missing","Recorded"),IF(G19&lt;0,"OVERDUE",IF(G19&lt;=60,"Due soon","OK"))))</f>
        <v/>
      </c>
      <c r="I19" t="inlineStr">
        <is>
          <t>If your council requires a licence, enter its expiry date. Licences usually last up to 5 years.</t>
        </is>
      </c>
      <c r="J19" t="inlineStr">
        <is>
          <t>gov.uk/house-in-multiple-occupation-licence</t>
        </is>
      </c>
    </row>
    <row r="20">
      <c r="A20" t="n">
        <v>2</v>
      </c>
      <c r="B20">
        <f>IF(Properties!B3="","",Properties!B3)</f>
        <v/>
      </c>
      <c r="C20" t="inlineStr">
        <is>
          <t>Landlord insurance renewal</t>
        </is>
      </c>
      <c r="D20" s="9" t="n"/>
      <c r="E20" t="n">
        <v>12</v>
      </c>
      <c r="F20" s="10">
        <f>IF(D20="","",EDATE(D20,E20))</f>
        <v/>
      </c>
      <c r="G20">
        <f>IF(F20="","",F20-TODAY())</f>
        <v/>
      </c>
      <c r="H20">
        <f>IF(B20="","",IF(F20="",IF(D20="","Missing","Recorded"),IF(G20&lt;0,"OVERDUE",IF(G20&lt;=60,"Due soon","OK"))))</f>
        <v/>
      </c>
      <c r="I20" t="inlineStr">
        <is>
          <t>Your policy renewal date.</t>
        </is>
      </c>
      <c r="J20" t="inlineStr"/>
    </row>
    <row r="21">
      <c r="A21" t="n">
        <v>2</v>
      </c>
      <c r="B21">
        <f>IF(Properties!B3="","",Properties!B3)</f>
        <v/>
      </c>
      <c r="C21" t="inlineStr">
        <is>
          <t>Legionella risk assessment review</t>
        </is>
      </c>
      <c r="D21" s="9" t="n"/>
      <c r="F21" s="10" t="inlineStr"/>
      <c r="G21">
        <f>IF(F21="","",F21-TODAY())</f>
        <v/>
      </c>
      <c r="H21">
        <f>IF(B21="","",IF(F21="",IF(D21="","Missing","Recorded"),IF(G21&lt;0,"OVERDUE",IF(G21&lt;=60,"Due soon","OK"))))</f>
        <v/>
      </c>
      <c r="I21" t="inlineStr">
        <is>
          <t>Landlords must assess legionella risk. The law sets no fixed interval; review when anything changes.</t>
        </is>
      </c>
      <c r="J21" t="inlineStr">
        <is>
          <t>hse.gov.uk/legionnaires/landlords.htm</t>
        </is>
      </c>
    </row>
    <row r="22">
      <c r="A22" t="n">
        <v>3</v>
      </c>
      <c r="B22">
        <f>IF(Properties!B4="","",Properties!B4)</f>
        <v/>
      </c>
      <c r="C22" t="inlineStr">
        <is>
          <t>Gas safety check (CP12)</t>
        </is>
      </c>
      <c r="D22" s="9" t="n"/>
      <c r="E22" t="n">
        <v>12</v>
      </c>
      <c r="F22" s="10">
        <f>IF(D22="","",EDATE(D22,E22))</f>
        <v/>
      </c>
      <c r="G22">
        <f>IF(F22="","",F22-TODAY())</f>
        <v/>
      </c>
      <c r="H22">
        <f>IF(B22="","",IF(F22="",IF(D22="","Missing","Recorded"),IF(G22&lt;0,"OVERDUE",IF(G22&lt;=60,"Due soon","OK"))))</f>
        <v/>
      </c>
      <c r="I22" t="inlineStr">
        <is>
          <t>Every 12 months by a Gas Safe engineer; copy to tenants within 28 days; keep records 2 years.</t>
        </is>
      </c>
      <c r="J22" t="inlineStr">
        <is>
          <t>gov.uk/government/publications/gas-safety-landlords-and-tenants</t>
        </is>
      </c>
    </row>
    <row r="23">
      <c r="A23" t="n">
        <v>3</v>
      </c>
      <c r="B23">
        <f>IF(Properties!B4="","",Properties!B4)</f>
        <v/>
      </c>
      <c r="C23" t="inlineStr">
        <is>
          <t>Electrical safety report (EICR)</t>
        </is>
      </c>
      <c r="D23" s="9" t="n"/>
      <c r="E23" t="n">
        <v>60</v>
      </c>
      <c r="F23" s="10">
        <f>IF(D23="","",EDATE(D23,E23))</f>
        <v/>
      </c>
      <c r="G23">
        <f>IF(F23="","",F23-TODAY())</f>
        <v/>
      </c>
      <c r="H23">
        <f>IF(B23="","",IF(F23="",IF(D23="","Missing","Recorded"),IF(G23&lt;0,"OVERDUE",IF(G23&lt;=60,"Due soon","OK"))))</f>
        <v/>
      </c>
      <c r="I23" t="inlineStr">
        <is>
          <t>At least every 5 years by a qualified person; copy to tenants within 28 days.</t>
        </is>
      </c>
      <c r="J23" t="inlineStr">
        <is>
          <t>gov.uk/government/publications/electrical-safety-standards-in-the-private-rented-sector-guidance-for-landlords-tenants-and-local-authorities</t>
        </is>
      </c>
    </row>
    <row r="24">
      <c r="A24" t="n">
        <v>3</v>
      </c>
      <c r="B24">
        <f>IF(Properties!B4="","",Properties!B4)</f>
        <v/>
      </c>
      <c r="C24" t="inlineStr">
        <is>
          <t>Energy Performance Certificate (EPC)</t>
        </is>
      </c>
      <c r="D24" s="9" t="n"/>
      <c r="E24" t="n">
        <v>120</v>
      </c>
      <c r="F24" s="10">
        <f>IF(D24="","",EDATE(D24,E24))</f>
        <v/>
      </c>
      <c r="G24">
        <f>IF(F24="","",F24-TODAY())</f>
        <v/>
      </c>
      <c r="H24">
        <f>IF(B24="","",IF(F24="",IF(D24="","Missing","Recorded"),IF(G24&lt;0,"OVERDUE",IF(G24&lt;=60,"Due soon","OK"))))</f>
        <v/>
      </c>
      <c r="I24" t="inlineStr">
        <is>
          <t>Valid 10 years; rating must be E or above to let (unless exempt).</t>
        </is>
      </c>
      <c r="J24" t="inlineStr">
        <is>
          <t>gov.uk/guidance/domestic-private-rented-property-minimum-energy-efficiency-standard-landlord-guidance</t>
        </is>
      </c>
    </row>
    <row r="25">
      <c r="A25" t="n">
        <v>3</v>
      </c>
      <c r="B25">
        <f>IF(Properties!B4="","",Properties!B4)</f>
        <v/>
      </c>
      <c r="C25" t="inlineStr">
        <is>
          <t>Smoke alarms tested</t>
        </is>
      </c>
      <c r="D25" s="9" t="n"/>
      <c r="F25" s="10" t="inlineStr"/>
      <c r="G25">
        <f>IF(F25="","",F25-TODAY())</f>
        <v/>
      </c>
      <c r="H25">
        <f>IF(B25="","",IF(F25="",IF(D25="","Missing","Recorded"),IF(G25&lt;0,"OVERDUE",IF(G25&lt;=60,"Due soon","OK"))))</f>
        <v/>
      </c>
      <c r="I25" t="inlineStr">
        <is>
          <t>At least one on every storey used as living accommodation; check working on the first day of each tenancy.</t>
        </is>
      </c>
      <c r="J25" t="inlineStr">
        <is>
          <t>gov.uk/government/publications/smoke-and-carbon-monoxide-alarms-explanatory-booklet-for-landlords</t>
        </is>
      </c>
    </row>
    <row r="26">
      <c r="A26" t="n">
        <v>3</v>
      </c>
      <c r="B26">
        <f>IF(Properties!B4="","",Properties!B4)</f>
        <v/>
      </c>
      <c r="C26" t="inlineStr">
        <is>
          <t>Carbon monoxide alarms tested</t>
        </is>
      </c>
      <c r="D26" s="9" t="n"/>
      <c r="F26" s="10" t="inlineStr"/>
      <c r="G26">
        <f>IF(F26="","",F26-TODAY())</f>
        <v/>
      </c>
      <c r="H26">
        <f>IF(B26="","",IF(F26="",IF(D26="","Missing","Recorded"),IF(G26&lt;0,"OVERDUE",IF(G26&lt;=60,"Due soon","OK"))))</f>
        <v/>
      </c>
      <c r="I26" t="inlineStr">
        <is>
          <t>In any room with a fixed combustion appliance (not gas cookers); check on the first day of each tenancy.</t>
        </is>
      </c>
      <c r="J26" t="inlineStr">
        <is>
          <t>gov.uk/government/publications/smoke-and-carbon-monoxide-alarms-explanatory-booklet-for-landlords</t>
        </is>
      </c>
    </row>
    <row r="27">
      <c r="A27" t="n">
        <v>3</v>
      </c>
      <c r="B27">
        <f>IF(Properties!B4="","",Properties!B4)</f>
        <v/>
      </c>
      <c r="C27" t="inlineStr">
        <is>
          <t>Deposit protected + prescribed information</t>
        </is>
      </c>
      <c r="D27" s="9" t="n"/>
      <c r="F27" s="10" t="inlineStr"/>
      <c r="G27">
        <f>IF(F27="","",F27-TODAY())</f>
        <v/>
      </c>
      <c r="H27">
        <f>IF(B27="","",IF(F27="",IF(D27="","Missing","Recorded"),IF(G27&lt;0,"OVERDUE",IF(G27&lt;=60,"Due soon","OK"))))</f>
        <v/>
      </c>
      <c r="I27" t="inlineStr">
        <is>
          <t>Protect in a government-approved scheme and give prescribed information within 30 days of receiving it.</t>
        </is>
      </c>
      <c r="J27" t="inlineStr">
        <is>
          <t>gov.uk/deposit-protection-schemes-and-landlords</t>
        </is>
      </c>
    </row>
    <row r="28">
      <c r="A28" t="n">
        <v>3</v>
      </c>
      <c r="B28">
        <f>IF(Properties!B4="","",Properties!B4)</f>
        <v/>
      </c>
      <c r="C28" t="inlineStr">
        <is>
          <t>Right to Rent check</t>
        </is>
      </c>
      <c r="D28" s="9" t="n"/>
      <c r="F28" s="10" t="inlineStr"/>
      <c r="G28">
        <f>IF(F28="","",F28-TODAY())</f>
        <v/>
      </c>
      <c r="H28">
        <f>IF(B28="","",IF(F28="",IF(D28="","Missing","Recorded"),IF(G28&lt;0,"OVERDUE",IF(G28&lt;=60,"Due soon","OK"))))</f>
        <v/>
      </c>
      <c r="I28" t="inlineStr">
        <is>
          <t>Before the tenancy starts; repeat check before a time-limited permission expires.</t>
        </is>
      </c>
      <c r="J28" t="inlineStr">
        <is>
          <t>gov.uk/check-tenant-right-to-rent-documents</t>
        </is>
      </c>
    </row>
    <row r="29">
      <c r="A29" t="n">
        <v>3</v>
      </c>
      <c r="B29">
        <f>IF(Properties!B4="","",Properties!B4)</f>
        <v/>
      </c>
      <c r="C29" t="inlineStr">
        <is>
          <t>Licence (HMO / selective) expiry</t>
        </is>
      </c>
      <c r="D29" s="9" t="n"/>
      <c r="F29" s="10">
        <f>IF(D29="","",D29)</f>
        <v/>
      </c>
      <c r="G29">
        <f>IF(F29="","",F29-TODAY())</f>
        <v/>
      </c>
      <c r="H29">
        <f>IF(B29="","",IF(F29="",IF(D29="","Missing","Recorded"),IF(G29&lt;0,"OVERDUE",IF(G29&lt;=60,"Due soon","OK"))))</f>
        <v/>
      </c>
      <c r="I29" t="inlineStr">
        <is>
          <t>If your council requires a licence, enter its expiry date. Licences usually last up to 5 years.</t>
        </is>
      </c>
      <c r="J29" t="inlineStr">
        <is>
          <t>gov.uk/house-in-multiple-occupation-licence</t>
        </is>
      </c>
    </row>
    <row r="30">
      <c r="A30" t="n">
        <v>3</v>
      </c>
      <c r="B30">
        <f>IF(Properties!B4="","",Properties!B4)</f>
        <v/>
      </c>
      <c r="C30" t="inlineStr">
        <is>
          <t>Landlord insurance renewal</t>
        </is>
      </c>
      <c r="D30" s="9" t="n"/>
      <c r="E30" t="n">
        <v>12</v>
      </c>
      <c r="F30" s="10">
        <f>IF(D30="","",EDATE(D30,E30))</f>
        <v/>
      </c>
      <c r="G30">
        <f>IF(F30="","",F30-TODAY())</f>
        <v/>
      </c>
      <c r="H30">
        <f>IF(B30="","",IF(F30="",IF(D30="","Missing","Recorded"),IF(G30&lt;0,"OVERDUE",IF(G30&lt;=60,"Due soon","OK"))))</f>
        <v/>
      </c>
      <c r="I30" t="inlineStr">
        <is>
          <t>Your policy renewal date.</t>
        </is>
      </c>
      <c r="J30" t="inlineStr"/>
    </row>
    <row r="31">
      <c r="A31" t="n">
        <v>3</v>
      </c>
      <c r="B31">
        <f>IF(Properties!B4="","",Properties!B4)</f>
        <v/>
      </c>
      <c r="C31" t="inlineStr">
        <is>
          <t>Legionella risk assessment review</t>
        </is>
      </c>
      <c r="D31" s="9" t="n"/>
      <c r="F31" s="10" t="inlineStr"/>
      <c r="G31">
        <f>IF(F31="","",F31-TODAY())</f>
        <v/>
      </c>
      <c r="H31">
        <f>IF(B31="","",IF(F31="",IF(D31="","Missing","Recorded"),IF(G31&lt;0,"OVERDUE",IF(G31&lt;=60,"Due soon","OK"))))</f>
        <v/>
      </c>
      <c r="I31" t="inlineStr">
        <is>
          <t>Landlords must assess legionella risk. The law sets no fixed interval; review when anything changes.</t>
        </is>
      </c>
      <c r="J31" t="inlineStr">
        <is>
          <t>hse.gov.uk/legionnaires/landlords.htm</t>
        </is>
      </c>
    </row>
    <row r="32">
      <c r="A32" t="n">
        <v>4</v>
      </c>
      <c r="B32">
        <f>IF(Properties!B5="","",Properties!B5)</f>
        <v/>
      </c>
      <c r="C32" t="inlineStr">
        <is>
          <t>Gas safety check (CP12)</t>
        </is>
      </c>
      <c r="D32" s="9" t="n"/>
      <c r="E32" t="n">
        <v>12</v>
      </c>
      <c r="F32" s="10">
        <f>IF(D32="","",EDATE(D32,E32))</f>
        <v/>
      </c>
      <c r="G32">
        <f>IF(F32="","",F32-TODAY())</f>
        <v/>
      </c>
      <c r="H32">
        <f>IF(B32="","",IF(F32="",IF(D32="","Missing","Recorded"),IF(G32&lt;0,"OVERDUE",IF(G32&lt;=60,"Due soon","OK"))))</f>
        <v/>
      </c>
      <c r="I32" t="inlineStr">
        <is>
          <t>Every 12 months by a Gas Safe engineer; copy to tenants within 28 days; keep records 2 years.</t>
        </is>
      </c>
      <c r="J32" t="inlineStr">
        <is>
          <t>gov.uk/government/publications/gas-safety-landlords-and-tenants</t>
        </is>
      </c>
    </row>
    <row r="33">
      <c r="A33" t="n">
        <v>4</v>
      </c>
      <c r="B33">
        <f>IF(Properties!B5="","",Properties!B5)</f>
        <v/>
      </c>
      <c r="C33" t="inlineStr">
        <is>
          <t>Electrical safety report (EICR)</t>
        </is>
      </c>
      <c r="D33" s="9" t="n"/>
      <c r="E33" t="n">
        <v>60</v>
      </c>
      <c r="F33" s="10">
        <f>IF(D33="","",EDATE(D33,E33))</f>
        <v/>
      </c>
      <c r="G33">
        <f>IF(F33="","",F33-TODAY())</f>
        <v/>
      </c>
      <c r="H33">
        <f>IF(B33="","",IF(F33="",IF(D33="","Missing","Recorded"),IF(G33&lt;0,"OVERDUE",IF(G33&lt;=60,"Due soon","OK"))))</f>
        <v/>
      </c>
      <c r="I33" t="inlineStr">
        <is>
          <t>At least every 5 years by a qualified person; copy to tenants within 28 days.</t>
        </is>
      </c>
      <c r="J33" t="inlineStr">
        <is>
          <t>gov.uk/government/publications/electrical-safety-standards-in-the-private-rented-sector-guidance-for-landlords-tenants-and-local-authorities</t>
        </is>
      </c>
    </row>
    <row r="34">
      <c r="A34" t="n">
        <v>4</v>
      </c>
      <c r="B34">
        <f>IF(Properties!B5="","",Properties!B5)</f>
        <v/>
      </c>
      <c r="C34" t="inlineStr">
        <is>
          <t>Energy Performance Certificate (EPC)</t>
        </is>
      </c>
      <c r="D34" s="9" t="n"/>
      <c r="E34" t="n">
        <v>120</v>
      </c>
      <c r="F34" s="10">
        <f>IF(D34="","",EDATE(D34,E34))</f>
        <v/>
      </c>
      <c r="G34">
        <f>IF(F34="","",F34-TODAY())</f>
        <v/>
      </c>
      <c r="H34">
        <f>IF(B34="","",IF(F34="",IF(D34="","Missing","Recorded"),IF(G34&lt;0,"OVERDUE",IF(G34&lt;=60,"Due soon","OK"))))</f>
        <v/>
      </c>
      <c r="I34" t="inlineStr">
        <is>
          <t>Valid 10 years; rating must be E or above to let (unless exempt).</t>
        </is>
      </c>
      <c r="J34" t="inlineStr">
        <is>
          <t>gov.uk/guidance/domestic-private-rented-property-minimum-energy-efficiency-standard-landlord-guidance</t>
        </is>
      </c>
    </row>
    <row r="35">
      <c r="A35" t="n">
        <v>4</v>
      </c>
      <c r="B35">
        <f>IF(Properties!B5="","",Properties!B5)</f>
        <v/>
      </c>
      <c r="C35" t="inlineStr">
        <is>
          <t>Smoke alarms tested</t>
        </is>
      </c>
      <c r="D35" s="9" t="n"/>
      <c r="F35" s="10" t="inlineStr"/>
      <c r="G35">
        <f>IF(F35="","",F35-TODAY())</f>
        <v/>
      </c>
      <c r="H35">
        <f>IF(B35="","",IF(F35="",IF(D35="","Missing","Recorded"),IF(G35&lt;0,"OVERDUE",IF(G35&lt;=60,"Due soon","OK"))))</f>
        <v/>
      </c>
      <c r="I35" t="inlineStr">
        <is>
          <t>At least one on every storey used as living accommodation; check working on the first day of each tenancy.</t>
        </is>
      </c>
      <c r="J35" t="inlineStr">
        <is>
          <t>gov.uk/government/publications/smoke-and-carbon-monoxide-alarms-explanatory-booklet-for-landlords</t>
        </is>
      </c>
    </row>
    <row r="36">
      <c r="A36" t="n">
        <v>4</v>
      </c>
      <c r="B36">
        <f>IF(Properties!B5="","",Properties!B5)</f>
        <v/>
      </c>
      <c r="C36" t="inlineStr">
        <is>
          <t>Carbon monoxide alarms tested</t>
        </is>
      </c>
      <c r="D36" s="9" t="n"/>
      <c r="F36" s="10" t="inlineStr"/>
      <c r="G36">
        <f>IF(F36="","",F36-TODAY())</f>
        <v/>
      </c>
      <c r="H36">
        <f>IF(B36="","",IF(F36="",IF(D36="","Missing","Recorded"),IF(G36&lt;0,"OVERDUE",IF(G36&lt;=60,"Due soon","OK"))))</f>
        <v/>
      </c>
      <c r="I36" t="inlineStr">
        <is>
          <t>In any room with a fixed combustion appliance (not gas cookers); check on the first day of each tenancy.</t>
        </is>
      </c>
      <c r="J36" t="inlineStr">
        <is>
          <t>gov.uk/government/publications/smoke-and-carbon-monoxide-alarms-explanatory-booklet-for-landlords</t>
        </is>
      </c>
    </row>
    <row r="37">
      <c r="A37" t="n">
        <v>4</v>
      </c>
      <c r="B37">
        <f>IF(Properties!B5="","",Properties!B5)</f>
        <v/>
      </c>
      <c r="C37" t="inlineStr">
        <is>
          <t>Deposit protected + prescribed information</t>
        </is>
      </c>
      <c r="D37" s="9" t="n"/>
      <c r="F37" s="10" t="inlineStr"/>
      <c r="G37">
        <f>IF(F37="","",F37-TODAY())</f>
        <v/>
      </c>
      <c r="H37">
        <f>IF(B37="","",IF(F37="",IF(D37="","Missing","Recorded"),IF(G37&lt;0,"OVERDUE",IF(G37&lt;=60,"Due soon","OK"))))</f>
        <v/>
      </c>
      <c r="I37" t="inlineStr">
        <is>
          <t>Protect in a government-approved scheme and give prescribed information within 30 days of receiving it.</t>
        </is>
      </c>
      <c r="J37" t="inlineStr">
        <is>
          <t>gov.uk/deposit-protection-schemes-and-landlords</t>
        </is>
      </c>
    </row>
    <row r="38">
      <c r="A38" t="n">
        <v>4</v>
      </c>
      <c r="B38">
        <f>IF(Properties!B5="","",Properties!B5)</f>
        <v/>
      </c>
      <c r="C38" t="inlineStr">
        <is>
          <t>Right to Rent check</t>
        </is>
      </c>
      <c r="D38" s="9" t="n"/>
      <c r="F38" s="10" t="inlineStr"/>
      <c r="G38">
        <f>IF(F38="","",F38-TODAY())</f>
        <v/>
      </c>
      <c r="H38">
        <f>IF(B38="","",IF(F38="",IF(D38="","Missing","Recorded"),IF(G38&lt;0,"OVERDUE",IF(G38&lt;=60,"Due soon","OK"))))</f>
        <v/>
      </c>
      <c r="I38" t="inlineStr">
        <is>
          <t>Before the tenancy starts; repeat check before a time-limited permission expires.</t>
        </is>
      </c>
      <c r="J38" t="inlineStr">
        <is>
          <t>gov.uk/check-tenant-right-to-rent-documents</t>
        </is>
      </c>
    </row>
    <row r="39">
      <c r="A39" t="n">
        <v>4</v>
      </c>
      <c r="B39">
        <f>IF(Properties!B5="","",Properties!B5)</f>
        <v/>
      </c>
      <c r="C39" t="inlineStr">
        <is>
          <t>Licence (HMO / selective) expiry</t>
        </is>
      </c>
      <c r="D39" s="9" t="n"/>
      <c r="F39" s="10">
        <f>IF(D39="","",D39)</f>
        <v/>
      </c>
      <c r="G39">
        <f>IF(F39="","",F39-TODAY())</f>
        <v/>
      </c>
      <c r="H39">
        <f>IF(B39="","",IF(F39="",IF(D39="","Missing","Recorded"),IF(G39&lt;0,"OVERDUE",IF(G39&lt;=60,"Due soon","OK"))))</f>
        <v/>
      </c>
      <c r="I39" t="inlineStr">
        <is>
          <t>If your council requires a licence, enter its expiry date. Licences usually last up to 5 years.</t>
        </is>
      </c>
      <c r="J39" t="inlineStr">
        <is>
          <t>gov.uk/house-in-multiple-occupation-licence</t>
        </is>
      </c>
    </row>
    <row r="40">
      <c r="A40" t="n">
        <v>4</v>
      </c>
      <c r="B40">
        <f>IF(Properties!B5="","",Properties!B5)</f>
        <v/>
      </c>
      <c r="C40" t="inlineStr">
        <is>
          <t>Landlord insurance renewal</t>
        </is>
      </c>
      <c r="D40" s="9" t="n"/>
      <c r="E40" t="n">
        <v>12</v>
      </c>
      <c r="F40" s="10">
        <f>IF(D40="","",EDATE(D40,E40))</f>
        <v/>
      </c>
      <c r="G40">
        <f>IF(F40="","",F40-TODAY())</f>
        <v/>
      </c>
      <c r="H40">
        <f>IF(B40="","",IF(F40="",IF(D40="","Missing","Recorded"),IF(G40&lt;0,"OVERDUE",IF(G40&lt;=60,"Due soon","OK"))))</f>
        <v/>
      </c>
      <c r="I40" t="inlineStr">
        <is>
          <t>Your policy renewal date.</t>
        </is>
      </c>
      <c r="J40" t="inlineStr"/>
    </row>
    <row r="41">
      <c r="A41" t="n">
        <v>4</v>
      </c>
      <c r="B41">
        <f>IF(Properties!B5="","",Properties!B5)</f>
        <v/>
      </c>
      <c r="C41" t="inlineStr">
        <is>
          <t>Legionella risk assessment review</t>
        </is>
      </c>
      <c r="D41" s="9" t="n"/>
      <c r="F41" s="10" t="inlineStr"/>
      <c r="G41">
        <f>IF(F41="","",F41-TODAY())</f>
        <v/>
      </c>
      <c r="H41">
        <f>IF(B41="","",IF(F41="",IF(D41="","Missing","Recorded"),IF(G41&lt;0,"OVERDUE",IF(G41&lt;=60,"Due soon","OK"))))</f>
        <v/>
      </c>
      <c r="I41" t="inlineStr">
        <is>
          <t>Landlords must assess legionella risk. The law sets no fixed interval; review when anything changes.</t>
        </is>
      </c>
      <c r="J41" t="inlineStr">
        <is>
          <t>hse.gov.uk/legionnaires/landlords.htm</t>
        </is>
      </c>
    </row>
    <row r="42">
      <c r="A42" t="n">
        <v>5</v>
      </c>
      <c r="B42">
        <f>IF(Properties!B6="","",Properties!B6)</f>
        <v/>
      </c>
      <c r="C42" t="inlineStr">
        <is>
          <t>Gas safety check (CP12)</t>
        </is>
      </c>
      <c r="D42" s="9" t="n"/>
      <c r="E42" t="n">
        <v>12</v>
      </c>
      <c r="F42" s="10">
        <f>IF(D42="","",EDATE(D42,E42))</f>
        <v/>
      </c>
      <c r="G42">
        <f>IF(F42="","",F42-TODAY())</f>
        <v/>
      </c>
      <c r="H42">
        <f>IF(B42="","",IF(F42="",IF(D42="","Missing","Recorded"),IF(G42&lt;0,"OVERDUE",IF(G42&lt;=60,"Due soon","OK"))))</f>
        <v/>
      </c>
      <c r="I42" t="inlineStr">
        <is>
          <t>Every 12 months by a Gas Safe engineer; copy to tenants within 28 days; keep records 2 years.</t>
        </is>
      </c>
      <c r="J42" t="inlineStr">
        <is>
          <t>gov.uk/government/publications/gas-safety-landlords-and-tenants</t>
        </is>
      </c>
    </row>
    <row r="43">
      <c r="A43" t="n">
        <v>5</v>
      </c>
      <c r="B43">
        <f>IF(Properties!B6="","",Properties!B6)</f>
        <v/>
      </c>
      <c r="C43" t="inlineStr">
        <is>
          <t>Electrical safety report (EICR)</t>
        </is>
      </c>
      <c r="D43" s="9" t="n"/>
      <c r="E43" t="n">
        <v>60</v>
      </c>
      <c r="F43" s="10">
        <f>IF(D43="","",EDATE(D43,E43))</f>
        <v/>
      </c>
      <c r="G43">
        <f>IF(F43="","",F43-TODAY())</f>
        <v/>
      </c>
      <c r="H43">
        <f>IF(B43="","",IF(F43="",IF(D43="","Missing","Recorded"),IF(G43&lt;0,"OVERDUE",IF(G43&lt;=60,"Due soon","OK"))))</f>
        <v/>
      </c>
      <c r="I43" t="inlineStr">
        <is>
          <t>At least every 5 years by a qualified person; copy to tenants within 28 days.</t>
        </is>
      </c>
      <c r="J43" t="inlineStr">
        <is>
          <t>gov.uk/government/publications/electrical-safety-standards-in-the-private-rented-sector-guidance-for-landlords-tenants-and-local-authorities</t>
        </is>
      </c>
    </row>
    <row r="44">
      <c r="A44" t="n">
        <v>5</v>
      </c>
      <c r="B44">
        <f>IF(Properties!B6="","",Properties!B6)</f>
        <v/>
      </c>
      <c r="C44" t="inlineStr">
        <is>
          <t>Energy Performance Certificate (EPC)</t>
        </is>
      </c>
      <c r="D44" s="9" t="n"/>
      <c r="E44" t="n">
        <v>120</v>
      </c>
      <c r="F44" s="10">
        <f>IF(D44="","",EDATE(D44,E44))</f>
        <v/>
      </c>
      <c r="G44">
        <f>IF(F44="","",F44-TODAY())</f>
        <v/>
      </c>
      <c r="H44">
        <f>IF(B44="","",IF(F44="",IF(D44="","Missing","Recorded"),IF(G44&lt;0,"OVERDUE",IF(G44&lt;=60,"Due soon","OK"))))</f>
        <v/>
      </c>
      <c r="I44" t="inlineStr">
        <is>
          <t>Valid 10 years; rating must be E or above to let (unless exempt).</t>
        </is>
      </c>
      <c r="J44" t="inlineStr">
        <is>
          <t>gov.uk/guidance/domestic-private-rented-property-minimum-energy-efficiency-standard-landlord-guidance</t>
        </is>
      </c>
    </row>
    <row r="45">
      <c r="A45" t="n">
        <v>5</v>
      </c>
      <c r="B45">
        <f>IF(Properties!B6="","",Properties!B6)</f>
        <v/>
      </c>
      <c r="C45" t="inlineStr">
        <is>
          <t>Smoke alarms tested</t>
        </is>
      </c>
      <c r="D45" s="9" t="n"/>
      <c r="F45" s="10" t="inlineStr"/>
      <c r="G45">
        <f>IF(F45="","",F45-TODAY())</f>
        <v/>
      </c>
      <c r="H45">
        <f>IF(B45="","",IF(F45="",IF(D45="","Missing","Recorded"),IF(G45&lt;0,"OVERDUE",IF(G45&lt;=60,"Due soon","OK"))))</f>
        <v/>
      </c>
      <c r="I45" t="inlineStr">
        <is>
          <t>At least one on every storey used as living accommodation; check working on the first day of each tenancy.</t>
        </is>
      </c>
      <c r="J45" t="inlineStr">
        <is>
          <t>gov.uk/government/publications/smoke-and-carbon-monoxide-alarms-explanatory-booklet-for-landlords</t>
        </is>
      </c>
    </row>
    <row r="46">
      <c r="A46" t="n">
        <v>5</v>
      </c>
      <c r="B46">
        <f>IF(Properties!B6="","",Properties!B6)</f>
        <v/>
      </c>
      <c r="C46" t="inlineStr">
        <is>
          <t>Carbon monoxide alarms tested</t>
        </is>
      </c>
      <c r="D46" s="9" t="n"/>
      <c r="F46" s="10" t="inlineStr"/>
      <c r="G46">
        <f>IF(F46="","",F46-TODAY())</f>
        <v/>
      </c>
      <c r="H46">
        <f>IF(B46="","",IF(F46="",IF(D46="","Missing","Recorded"),IF(G46&lt;0,"OVERDUE",IF(G46&lt;=60,"Due soon","OK"))))</f>
        <v/>
      </c>
      <c r="I46" t="inlineStr">
        <is>
          <t>In any room with a fixed combustion appliance (not gas cookers); check on the first day of each tenancy.</t>
        </is>
      </c>
      <c r="J46" t="inlineStr">
        <is>
          <t>gov.uk/government/publications/smoke-and-carbon-monoxide-alarms-explanatory-booklet-for-landlords</t>
        </is>
      </c>
    </row>
    <row r="47">
      <c r="A47" t="n">
        <v>5</v>
      </c>
      <c r="B47">
        <f>IF(Properties!B6="","",Properties!B6)</f>
        <v/>
      </c>
      <c r="C47" t="inlineStr">
        <is>
          <t>Deposit protected + prescribed information</t>
        </is>
      </c>
      <c r="D47" s="9" t="n"/>
      <c r="F47" s="10" t="inlineStr"/>
      <c r="G47">
        <f>IF(F47="","",F47-TODAY())</f>
        <v/>
      </c>
      <c r="H47">
        <f>IF(B47="","",IF(F47="",IF(D47="","Missing","Recorded"),IF(G47&lt;0,"OVERDUE",IF(G47&lt;=60,"Due soon","OK"))))</f>
        <v/>
      </c>
      <c r="I47" t="inlineStr">
        <is>
          <t>Protect in a government-approved scheme and give prescribed information within 30 days of receiving it.</t>
        </is>
      </c>
      <c r="J47" t="inlineStr">
        <is>
          <t>gov.uk/deposit-protection-schemes-and-landlords</t>
        </is>
      </c>
    </row>
    <row r="48">
      <c r="A48" t="n">
        <v>5</v>
      </c>
      <c r="B48">
        <f>IF(Properties!B6="","",Properties!B6)</f>
        <v/>
      </c>
      <c r="C48" t="inlineStr">
        <is>
          <t>Right to Rent check</t>
        </is>
      </c>
      <c r="D48" s="9" t="n"/>
      <c r="F48" s="10" t="inlineStr"/>
      <c r="G48">
        <f>IF(F48="","",F48-TODAY())</f>
        <v/>
      </c>
      <c r="H48">
        <f>IF(B48="","",IF(F48="",IF(D48="","Missing","Recorded"),IF(G48&lt;0,"OVERDUE",IF(G48&lt;=60,"Due soon","OK"))))</f>
        <v/>
      </c>
      <c r="I48" t="inlineStr">
        <is>
          <t>Before the tenancy starts; repeat check before a time-limited permission expires.</t>
        </is>
      </c>
      <c r="J48" t="inlineStr">
        <is>
          <t>gov.uk/check-tenant-right-to-rent-documents</t>
        </is>
      </c>
    </row>
    <row r="49">
      <c r="A49" t="n">
        <v>5</v>
      </c>
      <c r="B49">
        <f>IF(Properties!B6="","",Properties!B6)</f>
        <v/>
      </c>
      <c r="C49" t="inlineStr">
        <is>
          <t>Licence (HMO / selective) expiry</t>
        </is>
      </c>
      <c r="D49" s="9" t="n"/>
      <c r="F49" s="10">
        <f>IF(D49="","",D49)</f>
        <v/>
      </c>
      <c r="G49">
        <f>IF(F49="","",F49-TODAY())</f>
        <v/>
      </c>
      <c r="H49">
        <f>IF(B49="","",IF(F49="",IF(D49="","Missing","Recorded"),IF(G49&lt;0,"OVERDUE",IF(G49&lt;=60,"Due soon","OK"))))</f>
        <v/>
      </c>
      <c r="I49" t="inlineStr">
        <is>
          <t>If your council requires a licence, enter its expiry date. Licences usually last up to 5 years.</t>
        </is>
      </c>
      <c r="J49" t="inlineStr">
        <is>
          <t>gov.uk/house-in-multiple-occupation-licence</t>
        </is>
      </c>
    </row>
    <row r="50">
      <c r="A50" t="n">
        <v>5</v>
      </c>
      <c r="B50">
        <f>IF(Properties!B6="","",Properties!B6)</f>
        <v/>
      </c>
      <c r="C50" t="inlineStr">
        <is>
          <t>Landlord insurance renewal</t>
        </is>
      </c>
      <c r="D50" s="9" t="n"/>
      <c r="E50" t="n">
        <v>12</v>
      </c>
      <c r="F50" s="10">
        <f>IF(D50="","",EDATE(D50,E50))</f>
        <v/>
      </c>
      <c r="G50">
        <f>IF(F50="","",F50-TODAY())</f>
        <v/>
      </c>
      <c r="H50">
        <f>IF(B50="","",IF(F50="",IF(D50="","Missing","Recorded"),IF(G50&lt;0,"OVERDUE",IF(G50&lt;=60,"Due soon","OK"))))</f>
        <v/>
      </c>
      <c r="I50" t="inlineStr">
        <is>
          <t>Your policy renewal date.</t>
        </is>
      </c>
      <c r="J50" t="inlineStr"/>
    </row>
    <row r="51">
      <c r="A51" t="n">
        <v>5</v>
      </c>
      <c r="B51">
        <f>IF(Properties!B6="","",Properties!B6)</f>
        <v/>
      </c>
      <c r="C51" t="inlineStr">
        <is>
          <t>Legionella risk assessment review</t>
        </is>
      </c>
      <c r="D51" s="9" t="n"/>
      <c r="F51" s="10" t="inlineStr"/>
      <c r="G51">
        <f>IF(F51="","",F51-TODAY())</f>
        <v/>
      </c>
      <c r="H51">
        <f>IF(B51="","",IF(F51="",IF(D51="","Missing","Recorded"),IF(G51&lt;0,"OVERDUE",IF(G51&lt;=60,"Due soon","OK"))))</f>
        <v/>
      </c>
      <c r="I51" t="inlineStr">
        <is>
          <t>Landlords must assess legionella risk. The law sets no fixed interval; review when anything changes.</t>
        </is>
      </c>
      <c r="J51" t="inlineStr">
        <is>
          <t>hse.gov.uk/legionnaires/landlords.htm</t>
        </is>
      </c>
    </row>
    <row r="52">
      <c r="A52" t="n">
        <v>6</v>
      </c>
      <c r="B52">
        <f>IF(Properties!B7="","",Properties!B7)</f>
        <v/>
      </c>
      <c r="C52" t="inlineStr">
        <is>
          <t>Gas safety check (CP12)</t>
        </is>
      </c>
      <c r="D52" s="9" t="n"/>
      <c r="E52" t="n">
        <v>12</v>
      </c>
      <c r="F52" s="10">
        <f>IF(D52="","",EDATE(D52,E52))</f>
        <v/>
      </c>
      <c r="G52">
        <f>IF(F52="","",F52-TODAY())</f>
        <v/>
      </c>
      <c r="H52">
        <f>IF(B52="","",IF(F52="",IF(D52="","Missing","Recorded"),IF(G52&lt;0,"OVERDUE",IF(G52&lt;=60,"Due soon","OK"))))</f>
        <v/>
      </c>
      <c r="I52" t="inlineStr">
        <is>
          <t>Every 12 months by a Gas Safe engineer; copy to tenants within 28 days; keep records 2 years.</t>
        </is>
      </c>
      <c r="J52" t="inlineStr">
        <is>
          <t>gov.uk/government/publications/gas-safety-landlords-and-tenants</t>
        </is>
      </c>
    </row>
    <row r="53">
      <c r="A53" t="n">
        <v>6</v>
      </c>
      <c r="B53">
        <f>IF(Properties!B7="","",Properties!B7)</f>
        <v/>
      </c>
      <c r="C53" t="inlineStr">
        <is>
          <t>Electrical safety report (EICR)</t>
        </is>
      </c>
      <c r="D53" s="9" t="n"/>
      <c r="E53" t="n">
        <v>60</v>
      </c>
      <c r="F53" s="10">
        <f>IF(D53="","",EDATE(D53,E53))</f>
        <v/>
      </c>
      <c r="G53">
        <f>IF(F53="","",F53-TODAY())</f>
        <v/>
      </c>
      <c r="H53">
        <f>IF(B53="","",IF(F53="",IF(D53="","Missing","Recorded"),IF(G53&lt;0,"OVERDUE",IF(G53&lt;=60,"Due soon","OK"))))</f>
        <v/>
      </c>
      <c r="I53" t="inlineStr">
        <is>
          <t>At least every 5 years by a qualified person; copy to tenants within 28 days.</t>
        </is>
      </c>
      <c r="J53" t="inlineStr">
        <is>
          <t>gov.uk/government/publications/electrical-safety-standards-in-the-private-rented-sector-guidance-for-landlords-tenants-and-local-authorities</t>
        </is>
      </c>
    </row>
    <row r="54">
      <c r="A54" t="n">
        <v>6</v>
      </c>
      <c r="B54">
        <f>IF(Properties!B7="","",Properties!B7)</f>
        <v/>
      </c>
      <c r="C54" t="inlineStr">
        <is>
          <t>Energy Performance Certificate (EPC)</t>
        </is>
      </c>
      <c r="D54" s="9" t="n"/>
      <c r="E54" t="n">
        <v>120</v>
      </c>
      <c r="F54" s="10">
        <f>IF(D54="","",EDATE(D54,E54))</f>
        <v/>
      </c>
      <c r="G54">
        <f>IF(F54="","",F54-TODAY())</f>
        <v/>
      </c>
      <c r="H54">
        <f>IF(B54="","",IF(F54="",IF(D54="","Missing","Recorded"),IF(G54&lt;0,"OVERDUE",IF(G54&lt;=60,"Due soon","OK"))))</f>
        <v/>
      </c>
      <c r="I54" t="inlineStr">
        <is>
          <t>Valid 10 years; rating must be E or above to let (unless exempt).</t>
        </is>
      </c>
      <c r="J54" t="inlineStr">
        <is>
          <t>gov.uk/guidance/domestic-private-rented-property-minimum-energy-efficiency-standard-landlord-guidance</t>
        </is>
      </c>
    </row>
    <row r="55">
      <c r="A55" t="n">
        <v>6</v>
      </c>
      <c r="B55">
        <f>IF(Properties!B7="","",Properties!B7)</f>
        <v/>
      </c>
      <c r="C55" t="inlineStr">
        <is>
          <t>Smoke alarms tested</t>
        </is>
      </c>
      <c r="D55" s="9" t="n"/>
      <c r="F55" s="10" t="inlineStr"/>
      <c r="G55">
        <f>IF(F55="","",F55-TODAY())</f>
        <v/>
      </c>
      <c r="H55">
        <f>IF(B55="","",IF(F55="",IF(D55="","Missing","Recorded"),IF(G55&lt;0,"OVERDUE",IF(G55&lt;=60,"Due soon","OK"))))</f>
        <v/>
      </c>
      <c r="I55" t="inlineStr">
        <is>
          <t>At least one on every storey used as living accommodation; check working on the first day of each tenancy.</t>
        </is>
      </c>
      <c r="J55" t="inlineStr">
        <is>
          <t>gov.uk/government/publications/smoke-and-carbon-monoxide-alarms-explanatory-booklet-for-landlords</t>
        </is>
      </c>
    </row>
    <row r="56">
      <c r="A56" t="n">
        <v>6</v>
      </c>
      <c r="B56">
        <f>IF(Properties!B7="","",Properties!B7)</f>
        <v/>
      </c>
      <c r="C56" t="inlineStr">
        <is>
          <t>Carbon monoxide alarms tested</t>
        </is>
      </c>
      <c r="D56" s="9" t="n"/>
      <c r="F56" s="10" t="inlineStr"/>
      <c r="G56">
        <f>IF(F56="","",F56-TODAY())</f>
        <v/>
      </c>
      <c r="H56">
        <f>IF(B56="","",IF(F56="",IF(D56="","Missing","Recorded"),IF(G56&lt;0,"OVERDUE",IF(G56&lt;=60,"Due soon","OK"))))</f>
        <v/>
      </c>
      <c r="I56" t="inlineStr">
        <is>
          <t>In any room with a fixed combustion appliance (not gas cookers); check on the first day of each tenancy.</t>
        </is>
      </c>
      <c r="J56" t="inlineStr">
        <is>
          <t>gov.uk/government/publications/smoke-and-carbon-monoxide-alarms-explanatory-booklet-for-landlords</t>
        </is>
      </c>
    </row>
    <row r="57">
      <c r="A57" t="n">
        <v>6</v>
      </c>
      <c r="B57">
        <f>IF(Properties!B7="","",Properties!B7)</f>
        <v/>
      </c>
      <c r="C57" t="inlineStr">
        <is>
          <t>Deposit protected + prescribed information</t>
        </is>
      </c>
      <c r="D57" s="9" t="n"/>
      <c r="F57" s="10" t="inlineStr"/>
      <c r="G57">
        <f>IF(F57="","",F57-TODAY())</f>
        <v/>
      </c>
      <c r="H57">
        <f>IF(B57="","",IF(F57="",IF(D57="","Missing","Recorded"),IF(G57&lt;0,"OVERDUE",IF(G57&lt;=60,"Due soon","OK"))))</f>
        <v/>
      </c>
      <c r="I57" t="inlineStr">
        <is>
          <t>Protect in a government-approved scheme and give prescribed information within 30 days of receiving it.</t>
        </is>
      </c>
      <c r="J57" t="inlineStr">
        <is>
          <t>gov.uk/deposit-protection-schemes-and-landlords</t>
        </is>
      </c>
    </row>
    <row r="58">
      <c r="A58" t="n">
        <v>6</v>
      </c>
      <c r="B58">
        <f>IF(Properties!B7="","",Properties!B7)</f>
        <v/>
      </c>
      <c r="C58" t="inlineStr">
        <is>
          <t>Right to Rent check</t>
        </is>
      </c>
      <c r="D58" s="9" t="n"/>
      <c r="F58" s="10" t="inlineStr"/>
      <c r="G58">
        <f>IF(F58="","",F58-TODAY())</f>
        <v/>
      </c>
      <c r="H58">
        <f>IF(B58="","",IF(F58="",IF(D58="","Missing","Recorded"),IF(G58&lt;0,"OVERDUE",IF(G58&lt;=60,"Due soon","OK"))))</f>
        <v/>
      </c>
      <c r="I58" t="inlineStr">
        <is>
          <t>Before the tenancy starts; repeat check before a time-limited permission expires.</t>
        </is>
      </c>
      <c r="J58" t="inlineStr">
        <is>
          <t>gov.uk/check-tenant-right-to-rent-documents</t>
        </is>
      </c>
    </row>
    <row r="59">
      <c r="A59" t="n">
        <v>6</v>
      </c>
      <c r="B59">
        <f>IF(Properties!B7="","",Properties!B7)</f>
        <v/>
      </c>
      <c r="C59" t="inlineStr">
        <is>
          <t>Licence (HMO / selective) expiry</t>
        </is>
      </c>
      <c r="D59" s="9" t="n"/>
      <c r="F59" s="10">
        <f>IF(D59="","",D59)</f>
        <v/>
      </c>
      <c r="G59">
        <f>IF(F59="","",F59-TODAY())</f>
        <v/>
      </c>
      <c r="H59">
        <f>IF(B59="","",IF(F59="",IF(D59="","Missing","Recorded"),IF(G59&lt;0,"OVERDUE",IF(G59&lt;=60,"Due soon","OK"))))</f>
        <v/>
      </c>
      <c r="I59" t="inlineStr">
        <is>
          <t>If your council requires a licence, enter its expiry date. Licences usually last up to 5 years.</t>
        </is>
      </c>
      <c r="J59" t="inlineStr">
        <is>
          <t>gov.uk/house-in-multiple-occupation-licence</t>
        </is>
      </c>
    </row>
    <row r="60">
      <c r="A60" t="n">
        <v>6</v>
      </c>
      <c r="B60">
        <f>IF(Properties!B7="","",Properties!B7)</f>
        <v/>
      </c>
      <c r="C60" t="inlineStr">
        <is>
          <t>Landlord insurance renewal</t>
        </is>
      </c>
      <c r="D60" s="9" t="n"/>
      <c r="E60" t="n">
        <v>12</v>
      </c>
      <c r="F60" s="10">
        <f>IF(D60="","",EDATE(D60,E60))</f>
        <v/>
      </c>
      <c r="G60">
        <f>IF(F60="","",F60-TODAY())</f>
        <v/>
      </c>
      <c r="H60">
        <f>IF(B60="","",IF(F60="",IF(D60="","Missing","Recorded"),IF(G60&lt;0,"OVERDUE",IF(G60&lt;=60,"Due soon","OK"))))</f>
        <v/>
      </c>
      <c r="I60" t="inlineStr">
        <is>
          <t>Your policy renewal date.</t>
        </is>
      </c>
      <c r="J60" t="inlineStr"/>
    </row>
    <row r="61">
      <c r="A61" t="n">
        <v>6</v>
      </c>
      <c r="B61">
        <f>IF(Properties!B7="","",Properties!B7)</f>
        <v/>
      </c>
      <c r="C61" t="inlineStr">
        <is>
          <t>Legionella risk assessment review</t>
        </is>
      </c>
      <c r="D61" s="9" t="n"/>
      <c r="F61" s="10" t="inlineStr"/>
      <c r="G61">
        <f>IF(F61="","",F61-TODAY())</f>
        <v/>
      </c>
      <c r="H61">
        <f>IF(B61="","",IF(F61="",IF(D61="","Missing","Recorded"),IF(G61&lt;0,"OVERDUE",IF(G61&lt;=60,"Due soon","OK"))))</f>
        <v/>
      </c>
      <c r="I61" t="inlineStr">
        <is>
          <t>Landlords must assess legionella risk. The law sets no fixed interval; review when anything changes.</t>
        </is>
      </c>
      <c r="J61" t="inlineStr">
        <is>
          <t>hse.gov.uk/legionnaires/landlords.htm</t>
        </is>
      </c>
    </row>
    <row r="62">
      <c r="A62" t="n">
        <v>7</v>
      </c>
      <c r="B62">
        <f>IF(Properties!B8="","",Properties!B8)</f>
        <v/>
      </c>
      <c r="C62" t="inlineStr">
        <is>
          <t>Gas safety check (CP12)</t>
        </is>
      </c>
      <c r="D62" s="9" t="n"/>
      <c r="E62" t="n">
        <v>12</v>
      </c>
      <c r="F62" s="10">
        <f>IF(D62="","",EDATE(D62,E62))</f>
        <v/>
      </c>
      <c r="G62">
        <f>IF(F62="","",F62-TODAY())</f>
        <v/>
      </c>
      <c r="H62">
        <f>IF(B62="","",IF(F62="",IF(D62="","Missing","Recorded"),IF(G62&lt;0,"OVERDUE",IF(G62&lt;=60,"Due soon","OK"))))</f>
        <v/>
      </c>
      <c r="I62" t="inlineStr">
        <is>
          <t>Every 12 months by a Gas Safe engineer; copy to tenants within 28 days; keep records 2 years.</t>
        </is>
      </c>
      <c r="J62" t="inlineStr">
        <is>
          <t>gov.uk/government/publications/gas-safety-landlords-and-tenants</t>
        </is>
      </c>
    </row>
    <row r="63">
      <c r="A63" t="n">
        <v>7</v>
      </c>
      <c r="B63">
        <f>IF(Properties!B8="","",Properties!B8)</f>
        <v/>
      </c>
      <c r="C63" t="inlineStr">
        <is>
          <t>Electrical safety report (EICR)</t>
        </is>
      </c>
      <c r="D63" s="9" t="n"/>
      <c r="E63" t="n">
        <v>60</v>
      </c>
      <c r="F63" s="10">
        <f>IF(D63="","",EDATE(D63,E63))</f>
        <v/>
      </c>
      <c r="G63">
        <f>IF(F63="","",F63-TODAY())</f>
        <v/>
      </c>
      <c r="H63">
        <f>IF(B63="","",IF(F63="",IF(D63="","Missing","Recorded"),IF(G63&lt;0,"OVERDUE",IF(G63&lt;=60,"Due soon","OK"))))</f>
        <v/>
      </c>
      <c r="I63" t="inlineStr">
        <is>
          <t>At least every 5 years by a qualified person; copy to tenants within 28 days.</t>
        </is>
      </c>
      <c r="J63" t="inlineStr">
        <is>
          <t>gov.uk/government/publications/electrical-safety-standards-in-the-private-rented-sector-guidance-for-landlords-tenants-and-local-authorities</t>
        </is>
      </c>
    </row>
    <row r="64">
      <c r="A64" t="n">
        <v>7</v>
      </c>
      <c r="B64">
        <f>IF(Properties!B8="","",Properties!B8)</f>
        <v/>
      </c>
      <c r="C64" t="inlineStr">
        <is>
          <t>Energy Performance Certificate (EPC)</t>
        </is>
      </c>
      <c r="D64" s="9" t="n"/>
      <c r="E64" t="n">
        <v>120</v>
      </c>
      <c r="F64" s="10">
        <f>IF(D64="","",EDATE(D64,E64))</f>
        <v/>
      </c>
      <c r="G64">
        <f>IF(F64="","",F64-TODAY())</f>
        <v/>
      </c>
      <c r="H64">
        <f>IF(B64="","",IF(F64="",IF(D64="","Missing","Recorded"),IF(G64&lt;0,"OVERDUE",IF(G64&lt;=60,"Due soon","OK"))))</f>
        <v/>
      </c>
      <c r="I64" t="inlineStr">
        <is>
          <t>Valid 10 years; rating must be E or above to let (unless exempt).</t>
        </is>
      </c>
      <c r="J64" t="inlineStr">
        <is>
          <t>gov.uk/guidance/domestic-private-rented-property-minimum-energy-efficiency-standard-landlord-guidance</t>
        </is>
      </c>
    </row>
    <row r="65">
      <c r="A65" t="n">
        <v>7</v>
      </c>
      <c r="B65">
        <f>IF(Properties!B8="","",Properties!B8)</f>
        <v/>
      </c>
      <c r="C65" t="inlineStr">
        <is>
          <t>Smoke alarms tested</t>
        </is>
      </c>
      <c r="D65" s="9" t="n"/>
      <c r="F65" s="10" t="inlineStr"/>
      <c r="G65">
        <f>IF(F65="","",F65-TODAY())</f>
        <v/>
      </c>
      <c r="H65">
        <f>IF(B65="","",IF(F65="",IF(D65="","Missing","Recorded"),IF(G65&lt;0,"OVERDUE",IF(G65&lt;=60,"Due soon","OK"))))</f>
        <v/>
      </c>
      <c r="I65" t="inlineStr">
        <is>
          <t>At least one on every storey used as living accommodation; check working on the first day of each tenancy.</t>
        </is>
      </c>
      <c r="J65" t="inlineStr">
        <is>
          <t>gov.uk/government/publications/smoke-and-carbon-monoxide-alarms-explanatory-booklet-for-landlords</t>
        </is>
      </c>
    </row>
    <row r="66">
      <c r="A66" t="n">
        <v>7</v>
      </c>
      <c r="B66">
        <f>IF(Properties!B8="","",Properties!B8)</f>
        <v/>
      </c>
      <c r="C66" t="inlineStr">
        <is>
          <t>Carbon monoxide alarms tested</t>
        </is>
      </c>
      <c r="D66" s="9" t="n"/>
      <c r="F66" s="10" t="inlineStr"/>
      <c r="G66">
        <f>IF(F66="","",F66-TODAY())</f>
        <v/>
      </c>
      <c r="H66">
        <f>IF(B66="","",IF(F66="",IF(D66="","Missing","Recorded"),IF(G66&lt;0,"OVERDUE",IF(G66&lt;=60,"Due soon","OK"))))</f>
        <v/>
      </c>
      <c r="I66" t="inlineStr">
        <is>
          <t>In any room with a fixed combustion appliance (not gas cookers); check on the first day of each tenancy.</t>
        </is>
      </c>
      <c r="J66" t="inlineStr">
        <is>
          <t>gov.uk/government/publications/smoke-and-carbon-monoxide-alarms-explanatory-booklet-for-landlords</t>
        </is>
      </c>
    </row>
    <row r="67">
      <c r="A67" t="n">
        <v>7</v>
      </c>
      <c r="B67">
        <f>IF(Properties!B8="","",Properties!B8)</f>
        <v/>
      </c>
      <c r="C67" t="inlineStr">
        <is>
          <t>Deposit protected + prescribed information</t>
        </is>
      </c>
      <c r="D67" s="9" t="n"/>
      <c r="F67" s="10" t="inlineStr"/>
      <c r="G67">
        <f>IF(F67="","",F67-TODAY())</f>
        <v/>
      </c>
      <c r="H67">
        <f>IF(B67="","",IF(F67="",IF(D67="","Missing","Recorded"),IF(G67&lt;0,"OVERDUE",IF(G67&lt;=60,"Due soon","OK"))))</f>
        <v/>
      </c>
      <c r="I67" t="inlineStr">
        <is>
          <t>Protect in a government-approved scheme and give prescribed information within 30 days of receiving it.</t>
        </is>
      </c>
      <c r="J67" t="inlineStr">
        <is>
          <t>gov.uk/deposit-protection-schemes-and-landlords</t>
        </is>
      </c>
    </row>
    <row r="68">
      <c r="A68" t="n">
        <v>7</v>
      </c>
      <c r="B68">
        <f>IF(Properties!B8="","",Properties!B8)</f>
        <v/>
      </c>
      <c r="C68" t="inlineStr">
        <is>
          <t>Right to Rent check</t>
        </is>
      </c>
      <c r="D68" s="9" t="n"/>
      <c r="F68" s="10" t="inlineStr"/>
      <c r="G68">
        <f>IF(F68="","",F68-TODAY())</f>
        <v/>
      </c>
      <c r="H68">
        <f>IF(B68="","",IF(F68="",IF(D68="","Missing","Recorded"),IF(G68&lt;0,"OVERDUE",IF(G68&lt;=60,"Due soon","OK"))))</f>
        <v/>
      </c>
      <c r="I68" t="inlineStr">
        <is>
          <t>Before the tenancy starts; repeat check before a time-limited permission expires.</t>
        </is>
      </c>
      <c r="J68" t="inlineStr">
        <is>
          <t>gov.uk/check-tenant-right-to-rent-documents</t>
        </is>
      </c>
    </row>
    <row r="69">
      <c r="A69" t="n">
        <v>7</v>
      </c>
      <c r="B69">
        <f>IF(Properties!B8="","",Properties!B8)</f>
        <v/>
      </c>
      <c r="C69" t="inlineStr">
        <is>
          <t>Licence (HMO / selective) expiry</t>
        </is>
      </c>
      <c r="D69" s="9" t="n"/>
      <c r="F69" s="10">
        <f>IF(D69="","",D69)</f>
        <v/>
      </c>
      <c r="G69">
        <f>IF(F69="","",F69-TODAY())</f>
        <v/>
      </c>
      <c r="H69">
        <f>IF(B69="","",IF(F69="",IF(D69="","Missing","Recorded"),IF(G69&lt;0,"OVERDUE",IF(G69&lt;=60,"Due soon","OK"))))</f>
        <v/>
      </c>
      <c r="I69" t="inlineStr">
        <is>
          <t>If your council requires a licence, enter its expiry date. Licences usually last up to 5 years.</t>
        </is>
      </c>
      <c r="J69" t="inlineStr">
        <is>
          <t>gov.uk/house-in-multiple-occupation-licence</t>
        </is>
      </c>
    </row>
    <row r="70">
      <c r="A70" t="n">
        <v>7</v>
      </c>
      <c r="B70">
        <f>IF(Properties!B8="","",Properties!B8)</f>
        <v/>
      </c>
      <c r="C70" t="inlineStr">
        <is>
          <t>Landlord insurance renewal</t>
        </is>
      </c>
      <c r="D70" s="9" t="n"/>
      <c r="E70" t="n">
        <v>12</v>
      </c>
      <c r="F70" s="10">
        <f>IF(D70="","",EDATE(D70,E70))</f>
        <v/>
      </c>
      <c r="G70">
        <f>IF(F70="","",F70-TODAY())</f>
        <v/>
      </c>
      <c r="H70">
        <f>IF(B70="","",IF(F70="",IF(D70="","Missing","Recorded"),IF(G70&lt;0,"OVERDUE",IF(G70&lt;=60,"Due soon","OK"))))</f>
        <v/>
      </c>
      <c r="I70" t="inlineStr">
        <is>
          <t>Your policy renewal date.</t>
        </is>
      </c>
      <c r="J70" t="inlineStr"/>
    </row>
    <row r="71">
      <c r="A71" t="n">
        <v>7</v>
      </c>
      <c r="B71">
        <f>IF(Properties!B8="","",Properties!B8)</f>
        <v/>
      </c>
      <c r="C71" t="inlineStr">
        <is>
          <t>Legionella risk assessment review</t>
        </is>
      </c>
      <c r="D71" s="9" t="n"/>
      <c r="F71" s="10" t="inlineStr"/>
      <c r="G71">
        <f>IF(F71="","",F71-TODAY())</f>
        <v/>
      </c>
      <c r="H71">
        <f>IF(B71="","",IF(F71="",IF(D71="","Missing","Recorded"),IF(G71&lt;0,"OVERDUE",IF(G71&lt;=60,"Due soon","OK"))))</f>
        <v/>
      </c>
      <c r="I71" t="inlineStr">
        <is>
          <t>Landlords must assess legionella risk. The law sets no fixed interval; review when anything changes.</t>
        </is>
      </c>
      <c r="J71" t="inlineStr">
        <is>
          <t>hse.gov.uk/legionnaires/landlords.htm</t>
        </is>
      </c>
    </row>
    <row r="72">
      <c r="A72" t="n">
        <v>8</v>
      </c>
      <c r="B72">
        <f>IF(Properties!B9="","",Properties!B9)</f>
        <v/>
      </c>
      <c r="C72" t="inlineStr">
        <is>
          <t>Gas safety check (CP12)</t>
        </is>
      </c>
      <c r="D72" s="9" t="n"/>
      <c r="E72" t="n">
        <v>12</v>
      </c>
      <c r="F72" s="10">
        <f>IF(D72="","",EDATE(D72,E72))</f>
        <v/>
      </c>
      <c r="G72">
        <f>IF(F72="","",F72-TODAY())</f>
        <v/>
      </c>
      <c r="H72">
        <f>IF(B72="","",IF(F72="",IF(D72="","Missing","Recorded"),IF(G72&lt;0,"OVERDUE",IF(G72&lt;=60,"Due soon","OK"))))</f>
        <v/>
      </c>
      <c r="I72" t="inlineStr">
        <is>
          <t>Every 12 months by a Gas Safe engineer; copy to tenants within 28 days; keep records 2 years.</t>
        </is>
      </c>
      <c r="J72" t="inlineStr">
        <is>
          <t>gov.uk/government/publications/gas-safety-landlords-and-tenants</t>
        </is>
      </c>
    </row>
    <row r="73">
      <c r="A73" t="n">
        <v>8</v>
      </c>
      <c r="B73">
        <f>IF(Properties!B9="","",Properties!B9)</f>
        <v/>
      </c>
      <c r="C73" t="inlineStr">
        <is>
          <t>Electrical safety report (EICR)</t>
        </is>
      </c>
      <c r="D73" s="9" t="n"/>
      <c r="E73" t="n">
        <v>60</v>
      </c>
      <c r="F73" s="10">
        <f>IF(D73="","",EDATE(D73,E73))</f>
        <v/>
      </c>
      <c r="G73">
        <f>IF(F73="","",F73-TODAY())</f>
        <v/>
      </c>
      <c r="H73">
        <f>IF(B73="","",IF(F73="",IF(D73="","Missing","Recorded"),IF(G73&lt;0,"OVERDUE",IF(G73&lt;=60,"Due soon","OK"))))</f>
        <v/>
      </c>
      <c r="I73" t="inlineStr">
        <is>
          <t>At least every 5 years by a qualified person; copy to tenants within 28 days.</t>
        </is>
      </c>
      <c r="J73" t="inlineStr">
        <is>
          <t>gov.uk/government/publications/electrical-safety-standards-in-the-private-rented-sector-guidance-for-landlords-tenants-and-local-authorities</t>
        </is>
      </c>
    </row>
    <row r="74">
      <c r="A74" t="n">
        <v>8</v>
      </c>
      <c r="B74">
        <f>IF(Properties!B9="","",Properties!B9)</f>
        <v/>
      </c>
      <c r="C74" t="inlineStr">
        <is>
          <t>Energy Performance Certificate (EPC)</t>
        </is>
      </c>
      <c r="D74" s="9" t="n"/>
      <c r="E74" t="n">
        <v>120</v>
      </c>
      <c r="F74" s="10">
        <f>IF(D74="","",EDATE(D74,E74))</f>
        <v/>
      </c>
      <c r="G74">
        <f>IF(F74="","",F74-TODAY())</f>
        <v/>
      </c>
      <c r="H74">
        <f>IF(B74="","",IF(F74="",IF(D74="","Missing","Recorded"),IF(G74&lt;0,"OVERDUE",IF(G74&lt;=60,"Due soon","OK"))))</f>
        <v/>
      </c>
      <c r="I74" t="inlineStr">
        <is>
          <t>Valid 10 years; rating must be E or above to let (unless exempt).</t>
        </is>
      </c>
      <c r="J74" t="inlineStr">
        <is>
          <t>gov.uk/guidance/domestic-private-rented-property-minimum-energy-efficiency-standard-landlord-guidance</t>
        </is>
      </c>
    </row>
    <row r="75">
      <c r="A75" t="n">
        <v>8</v>
      </c>
      <c r="B75">
        <f>IF(Properties!B9="","",Properties!B9)</f>
        <v/>
      </c>
      <c r="C75" t="inlineStr">
        <is>
          <t>Smoke alarms tested</t>
        </is>
      </c>
      <c r="D75" s="9" t="n"/>
      <c r="F75" s="10" t="inlineStr"/>
      <c r="G75">
        <f>IF(F75="","",F75-TODAY())</f>
        <v/>
      </c>
      <c r="H75">
        <f>IF(B75="","",IF(F75="",IF(D75="","Missing","Recorded"),IF(G75&lt;0,"OVERDUE",IF(G75&lt;=60,"Due soon","OK"))))</f>
        <v/>
      </c>
      <c r="I75" t="inlineStr">
        <is>
          <t>At least one on every storey used as living accommodation; check working on the first day of each tenancy.</t>
        </is>
      </c>
      <c r="J75" t="inlineStr">
        <is>
          <t>gov.uk/government/publications/smoke-and-carbon-monoxide-alarms-explanatory-booklet-for-landlords</t>
        </is>
      </c>
    </row>
    <row r="76">
      <c r="A76" t="n">
        <v>8</v>
      </c>
      <c r="B76">
        <f>IF(Properties!B9="","",Properties!B9)</f>
        <v/>
      </c>
      <c r="C76" t="inlineStr">
        <is>
          <t>Carbon monoxide alarms tested</t>
        </is>
      </c>
      <c r="D76" s="9" t="n"/>
      <c r="F76" s="10" t="inlineStr"/>
      <c r="G76">
        <f>IF(F76="","",F76-TODAY())</f>
        <v/>
      </c>
      <c r="H76">
        <f>IF(B76="","",IF(F76="",IF(D76="","Missing","Recorded"),IF(G76&lt;0,"OVERDUE",IF(G76&lt;=60,"Due soon","OK"))))</f>
        <v/>
      </c>
      <c r="I76" t="inlineStr">
        <is>
          <t>In any room with a fixed combustion appliance (not gas cookers); check on the first day of each tenancy.</t>
        </is>
      </c>
      <c r="J76" t="inlineStr">
        <is>
          <t>gov.uk/government/publications/smoke-and-carbon-monoxide-alarms-explanatory-booklet-for-landlords</t>
        </is>
      </c>
    </row>
    <row r="77">
      <c r="A77" t="n">
        <v>8</v>
      </c>
      <c r="B77">
        <f>IF(Properties!B9="","",Properties!B9)</f>
        <v/>
      </c>
      <c r="C77" t="inlineStr">
        <is>
          <t>Deposit protected + prescribed information</t>
        </is>
      </c>
      <c r="D77" s="9" t="n"/>
      <c r="F77" s="10" t="inlineStr"/>
      <c r="G77">
        <f>IF(F77="","",F77-TODAY())</f>
        <v/>
      </c>
      <c r="H77">
        <f>IF(B77="","",IF(F77="",IF(D77="","Missing","Recorded"),IF(G77&lt;0,"OVERDUE",IF(G77&lt;=60,"Due soon","OK"))))</f>
        <v/>
      </c>
      <c r="I77" t="inlineStr">
        <is>
          <t>Protect in a government-approved scheme and give prescribed information within 30 days of receiving it.</t>
        </is>
      </c>
      <c r="J77" t="inlineStr">
        <is>
          <t>gov.uk/deposit-protection-schemes-and-landlords</t>
        </is>
      </c>
    </row>
    <row r="78">
      <c r="A78" t="n">
        <v>8</v>
      </c>
      <c r="B78">
        <f>IF(Properties!B9="","",Properties!B9)</f>
        <v/>
      </c>
      <c r="C78" t="inlineStr">
        <is>
          <t>Right to Rent check</t>
        </is>
      </c>
      <c r="D78" s="9" t="n"/>
      <c r="F78" s="10" t="inlineStr"/>
      <c r="G78">
        <f>IF(F78="","",F78-TODAY())</f>
        <v/>
      </c>
      <c r="H78">
        <f>IF(B78="","",IF(F78="",IF(D78="","Missing","Recorded"),IF(G78&lt;0,"OVERDUE",IF(G78&lt;=60,"Due soon","OK"))))</f>
        <v/>
      </c>
      <c r="I78" t="inlineStr">
        <is>
          <t>Before the tenancy starts; repeat check before a time-limited permission expires.</t>
        </is>
      </c>
      <c r="J78" t="inlineStr">
        <is>
          <t>gov.uk/check-tenant-right-to-rent-documents</t>
        </is>
      </c>
    </row>
    <row r="79">
      <c r="A79" t="n">
        <v>8</v>
      </c>
      <c r="B79">
        <f>IF(Properties!B9="","",Properties!B9)</f>
        <v/>
      </c>
      <c r="C79" t="inlineStr">
        <is>
          <t>Licence (HMO / selective) expiry</t>
        </is>
      </c>
      <c r="D79" s="9" t="n"/>
      <c r="F79" s="10">
        <f>IF(D79="","",D79)</f>
        <v/>
      </c>
      <c r="G79">
        <f>IF(F79="","",F79-TODAY())</f>
        <v/>
      </c>
      <c r="H79">
        <f>IF(B79="","",IF(F79="",IF(D79="","Missing","Recorded"),IF(G79&lt;0,"OVERDUE",IF(G79&lt;=60,"Due soon","OK"))))</f>
        <v/>
      </c>
      <c r="I79" t="inlineStr">
        <is>
          <t>If your council requires a licence, enter its expiry date. Licences usually last up to 5 years.</t>
        </is>
      </c>
      <c r="J79" t="inlineStr">
        <is>
          <t>gov.uk/house-in-multiple-occupation-licence</t>
        </is>
      </c>
    </row>
    <row r="80">
      <c r="A80" t="n">
        <v>8</v>
      </c>
      <c r="B80">
        <f>IF(Properties!B9="","",Properties!B9)</f>
        <v/>
      </c>
      <c r="C80" t="inlineStr">
        <is>
          <t>Landlord insurance renewal</t>
        </is>
      </c>
      <c r="D80" s="9" t="n"/>
      <c r="E80" t="n">
        <v>12</v>
      </c>
      <c r="F80" s="10">
        <f>IF(D80="","",EDATE(D80,E80))</f>
        <v/>
      </c>
      <c r="G80">
        <f>IF(F80="","",F80-TODAY())</f>
        <v/>
      </c>
      <c r="H80">
        <f>IF(B80="","",IF(F80="",IF(D80="","Missing","Recorded"),IF(G80&lt;0,"OVERDUE",IF(G80&lt;=60,"Due soon","OK"))))</f>
        <v/>
      </c>
      <c r="I80" t="inlineStr">
        <is>
          <t>Your policy renewal date.</t>
        </is>
      </c>
      <c r="J80" t="inlineStr"/>
    </row>
    <row r="81">
      <c r="A81" t="n">
        <v>8</v>
      </c>
      <c r="B81">
        <f>IF(Properties!B9="","",Properties!B9)</f>
        <v/>
      </c>
      <c r="C81" t="inlineStr">
        <is>
          <t>Legionella risk assessment review</t>
        </is>
      </c>
      <c r="D81" s="9" t="n"/>
      <c r="F81" s="10" t="inlineStr"/>
      <c r="G81">
        <f>IF(F81="","",F81-TODAY())</f>
        <v/>
      </c>
      <c r="H81">
        <f>IF(B81="","",IF(F81="",IF(D81="","Missing","Recorded"),IF(G81&lt;0,"OVERDUE",IF(G81&lt;=60,"Due soon","OK"))))</f>
        <v/>
      </c>
      <c r="I81" t="inlineStr">
        <is>
          <t>Landlords must assess legionella risk. The law sets no fixed interval; review when anything changes.</t>
        </is>
      </c>
      <c r="J81" t="inlineStr">
        <is>
          <t>hse.gov.uk/legionnaires/landlords.htm</t>
        </is>
      </c>
    </row>
    <row r="82">
      <c r="A82" t="n">
        <v>9</v>
      </c>
      <c r="B82">
        <f>IF(Properties!B10="","",Properties!B10)</f>
        <v/>
      </c>
      <c r="C82" t="inlineStr">
        <is>
          <t>Gas safety check (CP12)</t>
        </is>
      </c>
      <c r="D82" s="9" t="n"/>
      <c r="E82" t="n">
        <v>12</v>
      </c>
      <c r="F82" s="10">
        <f>IF(D82="","",EDATE(D82,E82))</f>
        <v/>
      </c>
      <c r="G82">
        <f>IF(F82="","",F82-TODAY())</f>
        <v/>
      </c>
      <c r="H82">
        <f>IF(B82="","",IF(F82="",IF(D82="","Missing","Recorded"),IF(G82&lt;0,"OVERDUE",IF(G82&lt;=60,"Due soon","OK"))))</f>
        <v/>
      </c>
      <c r="I82" t="inlineStr">
        <is>
          <t>Every 12 months by a Gas Safe engineer; copy to tenants within 28 days; keep records 2 years.</t>
        </is>
      </c>
      <c r="J82" t="inlineStr">
        <is>
          <t>gov.uk/government/publications/gas-safety-landlords-and-tenants</t>
        </is>
      </c>
    </row>
    <row r="83">
      <c r="A83" t="n">
        <v>9</v>
      </c>
      <c r="B83">
        <f>IF(Properties!B10="","",Properties!B10)</f>
        <v/>
      </c>
      <c r="C83" t="inlineStr">
        <is>
          <t>Electrical safety report (EICR)</t>
        </is>
      </c>
      <c r="D83" s="9" t="n"/>
      <c r="E83" t="n">
        <v>60</v>
      </c>
      <c r="F83" s="10">
        <f>IF(D83="","",EDATE(D83,E83))</f>
        <v/>
      </c>
      <c r="G83">
        <f>IF(F83="","",F83-TODAY())</f>
        <v/>
      </c>
      <c r="H83">
        <f>IF(B83="","",IF(F83="",IF(D83="","Missing","Recorded"),IF(G83&lt;0,"OVERDUE",IF(G83&lt;=60,"Due soon","OK"))))</f>
        <v/>
      </c>
      <c r="I83" t="inlineStr">
        <is>
          <t>At least every 5 years by a qualified person; copy to tenants within 28 days.</t>
        </is>
      </c>
      <c r="J83" t="inlineStr">
        <is>
          <t>gov.uk/government/publications/electrical-safety-standards-in-the-private-rented-sector-guidance-for-landlords-tenants-and-local-authorities</t>
        </is>
      </c>
    </row>
    <row r="84">
      <c r="A84" t="n">
        <v>9</v>
      </c>
      <c r="B84">
        <f>IF(Properties!B10="","",Properties!B10)</f>
        <v/>
      </c>
      <c r="C84" t="inlineStr">
        <is>
          <t>Energy Performance Certificate (EPC)</t>
        </is>
      </c>
      <c r="D84" s="9" t="n"/>
      <c r="E84" t="n">
        <v>120</v>
      </c>
      <c r="F84" s="10">
        <f>IF(D84="","",EDATE(D84,E84))</f>
        <v/>
      </c>
      <c r="G84">
        <f>IF(F84="","",F84-TODAY())</f>
        <v/>
      </c>
      <c r="H84">
        <f>IF(B84="","",IF(F84="",IF(D84="","Missing","Recorded"),IF(G84&lt;0,"OVERDUE",IF(G84&lt;=60,"Due soon","OK"))))</f>
        <v/>
      </c>
      <c r="I84" t="inlineStr">
        <is>
          <t>Valid 10 years; rating must be E or above to let (unless exempt).</t>
        </is>
      </c>
      <c r="J84" t="inlineStr">
        <is>
          <t>gov.uk/guidance/domestic-private-rented-property-minimum-energy-efficiency-standard-landlord-guidance</t>
        </is>
      </c>
    </row>
    <row r="85">
      <c r="A85" t="n">
        <v>9</v>
      </c>
      <c r="B85">
        <f>IF(Properties!B10="","",Properties!B10)</f>
        <v/>
      </c>
      <c r="C85" t="inlineStr">
        <is>
          <t>Smoke alarms tested</t>
        </is>
      </c>
      <c r="D85" s="9" t="n"/>
      <c r="F85" s="10" t="inlineStr"/>
      <c r="G85">
        <f>IF(F85="","",F85-TODAY())</f>
        <v/>
      </c>
      <c r="H85">
        <f>IF(B85="","",IF(F85="",IF(D85="","Missing","Recorded"),IF(G85&lt;0,"OVERDUE",IF(G85&lt;=60,"Due soon","OK"))))</f>
        <v/>
      </c>
      <c r="I85" t="inlineStr">
        <is>
          <t>At least one on every storey used as living accommodation; check working on the first day of each tenancy.</t>
        </is>
      </c>
      <c r="J85" t="inlineStr">
        <is>
          <t>gov.uk/government/publications/smoke-and-carbon-monoxide-alarms-explanatory-booklet-for-landlords</t>
        </is>
      </c>
    </row>
    <row r="86">
      <c r="A86" t="n">
        <v>9</v>
      </c>
      <c r="B86">
        <f>IF(Properties!B10="","",Properties!B10)</f>
        <v/>
      </c>
      <c r="C86" t="inlineStr">
        <is>
          <t>Carbon monoxide alarms tested</t>
        </is>
      </c>
      <c r="D86" s="9" t="n"/>
      <c r="F86" s="10" t="inlineStr"/>
      <c r="G86">
        <f>IF(F86="","",F86-TODAY())</f>
        <v/>
      </c>
      <c r="H86">
        <f>IF(B86="","",IF(F86="",IF(D86="","Missing","Recorded"),IF(G86&lt;0,"OVERDUE",IF(G86&lt;=60,"Due soon","OK"))))</f>
        <v/>
      </c>
      <c r="I86" t="inlineStr">
        <is>
          <t>In any room with a fixed combustion appliance (not gas cookers); check on the first day of each tenancy.</t>
        </is>
      </c>
      <c r="J86" t="inlineStr">
        <is>
          <t>gov.uk/government/publications/smoke-and-carbon-monoxide-alarms-explanatory-booklet-for-landlords</t>
        </is>
      </c>
    </row>
    <row r="87">
      <c r="A87" t="n">
        <v>9</v>
      </c>
      <c r="B87">
        <f>IF(Properties!B10="","",Properties!B10)</f>
        <v/>
      </c>
      <c r="C87" t="inlineStr">
        <is>
          <t>Deposit protected + prescribed information</t>
        </is>
      </c>
      <c r="D87" s="9" t="n"/>
      <c r="F87" s="10" t="inlineStr"/>
      <c r="G87">
        <f>IF(F87="","",F87-TODAY())</f>
        <v/>
      </c>
      <c r="H87">
        <f>IF(B87="","",IF(F87="",IF(D87="","Missing","Recorded"),IF(G87&lt;0,"OVERDUE",IF(G87&lt;=60,"Due soon","OK"))))</f>
        <v/>
      </c>
      <c r="I87" t="inlineStr">
        <is>
          <t>Protect in a government-approved scheme and give prescribed information within 30 days of receiving it.</t>
        </is>
      </c>
      <c r="J87" t="inlineStr">
        <is>
          <t>gov.uk/deposit-protection-schemes-and-landlords</t>
        </is>
      </c>
    </row>
    <row r="88">
      <c r="A88" t="n">
        <v>9</v>
      </c>
      <c r="B88">
        <f>IF(Properties!B10="","",Properties!B10)</f>
        <v/>
      </c>
      <c r="C88" t="inlineStr">
        <is>
          <t>Right to Rent check</t>
        </is>
      </c>
      <c r="D88" s="9" t="n"/>
      <c r="F88" s="10" t="inlineStr"/>
      <c r="G88">
        <f>IF(F88="","",F88-TODAY())</f>
        <v/>
      </c>
      <c r="H88">
        <f>IF(B88="","",IF(F88="",IF(D88="","Missing","Recorded"),IF(G88&lt;0,"OVERDUE",IF(G88&lt;=60,"Due soon","OK"))))</f>
        <v/>
      </c>
      <c r="I88" t="inlineStr">
        <is>
          <t>Before the tenancy starts; repeat check before a time-limited permission expires.</t>
        </is>
      </c>
      <c r="J88" t="inlineStr">
        <is>
          <t>gov.uk/check-tenant-right-to-rent-documents</t>
        </is>
      </c>
    </row>
    <row r="89">
      <c r="A89" t="n">
        <v>9</v>
      </c>
      <c r="B89">
        <f>IF(Properties!B10="","",Properties!B10)</f>
        <v/>
      </c>
      <c r="C89" t="inlineStr">
        <is>
          <t>Licence (HMO / selective) expiry</t>
        </is>
      </c>
      <c r="D89" s="9" t="n"/>
      <c r="F89" s="10">
        <f>IF(D89="","",D89)</f>
        <v/>
      </c>
      <c r="G89">
        <f>IF(F89="","",F89-TODAY())</f>
        <v/>
      </c>
      <c r="H89">
        <f>IF(B89="","",IF(F89="",IF(D89="","Missing","Recorded"),IF(G89&lt;0,"OVERDUE",IF(G89&lt;=60,"Due soon","OK"))))</f>
        <v/>
      </c>
      <c r="I89" t="inlineStr">
        <is>
          <t>If your council requires a licence, enter its expiry date. Licences usually last up to 5 years.</t>
        </is>
      </c>
      <c r="J89" t="inlineStr">
        <is>
          <t>gov.uk/house-in-multiple-occupation-licence</t>
        </is>
      </c>
    </row>
    <row r="90">
      <c r="A90" t="n">
        <v>9</v>
      </c>
      <c r="B90">
        <f>IF(Properties!B10="","",Properties!B10)</f>
        <v/>
      </c>
      <c r="C90" t="inlineStr">
        <is>
          <t>Landlord insurance renewal</t>
        </is>
      </c>
      <c r="D90" s="9" t="n"/>
      <c r="E90" t="n">
        <v>12</v>
      </c>
      <c r="F90" s="10">
        <f>IF(D90="","",EDATE(D90,E90))</f>
        <v/>
      </c>
      <c r="G90">
        <f>IF(F90="","",F90-TODAY())</f>
        <v/>
      </c>
      <c r="H90">
        <f>IF(B90="","",IF(F90="",IF(D90="","Missing","Recorded"),IF(G90&lt;0,"OVERDUE",IF(G90&lt;=60,"Due soon","OK"))))</f>
        <v/>
      </c>
      <c r="I90" t="inlineStr">
        <is>
          <t>Your policy renewal date.</t>
        </is>
      </c>
      <c r="J90" t="inlineStr"/>
    </row>
    <row r="91">
      <c r="A91" t="n">
        <v>9</v>
      </c>
      <c r="B91">
        <f>IF(Properties!B10="","",Properties!B10)</f>
        <v/>
      </c>
      <c r="C91" t="inlineStr">
        <is>
          <t>Legionella risk assessment review</t>
        </is>
      </c>
      <c r="D91" s="9" t="n"/>
      <c r="F91" s="10" t="inlineStr"/>
      <c r="G91">
        <f>IF(F91="","",F91-TODAY())</f>
        <v/>
      </c>
      <c r="H91">
        <f>IF(B91="","",IF(F91="",IF(D91="","Missing","Recorded"),IF(G91&lt;0,"OVERDUE",IF(G91&lt;=60,"Due soon","OK"))))</f>
        <v/>
      </c>
      <c r="I91" t="inlineStr">
        <is>
          <t>Landlords must assess legionella risk. The law sets no fixed interval; review when anything changes.</t>
        </is>
      </c>
      <c r="J91" t="inlineStr">
        <is>
          <t>hse.gov.uk/legionnaires/landlords.htm</t>
        </is>
      </c>
    </row>
    <row r="92">
      <c r="A92" t="n">
        <v>10</v>
      </c>
      <c r="B92">
        <f>IF(Properties!B11="","",Properties!B11)</f>
        <v/>
      </c>
      <c r="C92" t="inlineStr">
        <is>
          <t>Gas safety check (CP12)</t>
        </is>
      </c>
      <c r="D92" s="9" t="n"/>
      <c r="E92" t="n">
        <v>12</v>
      </c>
      <c r="F92" s="10">
        <f>IF(D92="","",EDATE(D92,E92))</f>
        <v/>
      </c>
      <c r="G92">
        <f>IF(F92="","",F92-TODAY())</f>
        <v/>
      </c>
      <c r="H92">
        <f>IF(B92="","",IF(F92="",IF(D92="","Missing","Recorded"),IF(G92&lt;0,"OVERDUE",IF(G92&lt;=60,"Due soon","OK"))))</f>
        <v/>
      </c>
      <c r="I92" t="inlineStr">
        <is>
          <t>Every 12 months by a Gas Safe engineer; copy to tenants within 28 days; keep records 2 years.</t>
        </is>
      </c>
      <c r="J92" t="inlineStr">
        <is>
          <t>gov.uk/government/publications/gas-safety-landlords-and-tenants</t>
        </is>
      </c>
    </row>
    <row r="93">
      <c r="A93" t="n">
        <v>10</v>
      </c>
      <c r="B93">
        <f>IF(Properties!B11="","",Properties!B11)</f>
        <v/>
      </c>
      <c r="C93" t="inlineStr">
        <is>
          <t>Electrical safety report (EICR)</t>
        </is>
      </c>
      <c r="D93" s="9" t="n"/>
      <c r="E93" t="n">
        <v>60</v>
      </c>
      <c r="F93" s="10">
        <f>IF(D93="","",EDATE(D93,E93))</f>
        <v/>
      </c>
      <c r="G93">
        <f>IF(F93="","",F93-TODAY())</f>
        <v/>
      </c>
      <c r="H93">
        <f>IF(B93="","",IF(F93="",IF(D93="","Missing","Recorded"),IF(G93&lt;0,"OVERDUE",IF(G93&lt;=60,"Due soon","OK"))))</f>
        <v/>
      </c>
      <c r="I93" t="inlineStr">
        <is>
          <t>At least every 5 years by a qualified person; copy to tenants within 28 days.</t>
        </is>
      </c>
      <c r="J93" t="inlineStr">
        <is>
          <t>gov.uk/government/publications/electrical-safety-standards-in-the-private-rented-sector-guidance-for-landlords-tenants-and-local-authorities</t>
        </is>
      </c>
    </row>
    <row r="94">
      <c r="A94" t="n">
        <v>10</v>
      </c>
      <c r="B94">
        <f>IF(Properties!B11="","",Properties!B11)</f>
        <v/>
      </c>
      <c r="C94" t="inlineStr">
        <is>
          <t>Energy Performance Certificate (EPC)</t>
        </is>
      </c>
      <c r="D94" s="9" t="n"/>
      <c r="E94" t="n">
        <v>120</v>
      </c>
      <c r="F94" s="10">
        <f>IF(D94="","",EDATE(D94,E94))</f>
        <v/>
      </c>
      <c r="G94">
        <f>IF(F94="","",F94-TODAY())</f>
        <v/>
      </c>
      <c r="H94">
        <f>IF(B94="","",IF(F94="",IF(D94="","Missing","Recorded"),IF(G94&lt;0,"OVERDUE",IF(G94&lt;=60,"Due soon","OK"))))</f>
        <v/>
      </c>
      <c r="I94" t="inlineStr">
        <is>
          <t>Valid 10 years; rating must be E or above to let (unless exempt).</t>
        </is>
      </c>
      <c r="J94" t="inlineStr">
        <is>
          <t>gov.uk/guidance/domestic-private-rented-property-minimum-energy-efficiency-standard-landlord-guidance</t>
        </is>
      </c>
    </row>
    <row r="95">
      <c r="A95" t="n">
        <v>10</v>
      </c>
      <c r="B95">
        <f>IF(Properties!B11="","",Properties!B11)</f>
        <v/>
      </c>
      <c r="C95" t="inlineStr">
        <is>
          <t>Smoke alarms tested</t>
        </is>
      </c>
      <c r="D95" s="9" t="n"/>
      <c r="F95" s="10" t="inlineStr"/>
      <c r="G95">
        <f>IF(F95="","",F95-TODAY())</f>
        <v/>
      </c>
      <c r="H95">
        <f>IF(B95="","",IF(F95="",IF(D95="","Missing","Recorded"),IF(G95&lt;0,"OVERDUE",IF(G95&lt;=60,"Due soon","OK"))))</f>
        <v/>
      </c>
      <c r="I95" t="inlineStr">
        <is>
          <t>At least one on every storey used as living accommodation; check working on the first day of each tenancy.</t>
        </is>
      </c>
      <c r="J95" t="inlineStr">
        <is>
          <t>gov.uk/government/publications/smoke-and-carbon-monoxide-alarms-explanatory-booklet-for-landlords</t>
        </is>
      </c>
    </row>
    <row r="96">
      <c r="A96" t="n">
        <v>10</v>
      </c>
      <c r="B96">
        <f>IF(Properties!B11="","",Properties!B11)</f>
        <v/>
      </c>
      <c r="C96" t="inlineStr">
        <is>
          <t>Carbon monoxide alarms tested</t>
        </is>
      </c>
      <c r="D96" s="9" t="n"/>
      <c r="F96" s="10" t="inlineStr"/>
      <c r="G96">
        <f>IF(F96="","",F96-TODAY())</f>
        <v/>
      </c>
      <c r="H96">
        <f>IF(B96="","",IF(F96="",IF(D96="","Missing","Recorded"),IF(G96&lt;0,"OVERDUE",IF(G96&lt;=60,"Due soon","OK"))))</f>
        <v/>
      </c>
      <c r="I96" t="inlineStr">
        <is>
          <t>In any room with a fixed combustion appliance (not gas cookers); check on the first day of each tenancy.</t>
        </is>
      </c>
      <c r="J96" t="inlineStr">
        <is>
          <t>gov.uk/government/publications/smoke-and-carbon-monoxide-alarms-explanatory-booklet-for-landlords</t>
        </is>
      </c>
    </row>
    <row r="97">
      <c r="A97" t="n">
        <v>10</v>
      </c>
      <c r="B97">
        <f>IF(Properties!B11="","",Properties!B11)</f>
        <v/>
      </c>
      <c r="C97" t="inlineStr">
        <is>
          <t>Deposit protected + prescribed information</t>
        </is>
      </c>
      <c r="D97" s="9" t="n"/>
      <c r="F97" s="10" t="inlineStr"/>
      <c r="G97">
        <f>IF(F97="","",F97-TODAY())</f>
        <v/>
      </c>
      <c r="H97">
        <f>IF(B97="","",IF(F97="",IF(D97="","Missing","Recorded"),IF(G97&lt;0,"OVERDUE",IF(G97&lt;=60,"Due soon","OK"))))</f>
        <v/>
      </c>
      <c r="I97" t="inlineStr">
        <is>
          <t>Protect in a government-approved scheme and give prescribed information within 30 days of receiving it.</t>
        </is>
      </c>
      <c r="J97" t="inlineStr">
        <is>
          <t>gov.uk/deposit-protection-schemes-and-landlords</t>
        </is>
      </c>
    </row>
    <row r="98">
      <c r="A98" t="n">
        <v>10</v>
      </c>
      <c r="B98">
        <f>IF(Properties!B11="","",Properties!B11)</f>
        <v/>
      </c>
      <c r="C98" t="inlineStr">
        <is>
          <t>Right to Rent check</t>
        </is>
      </c>
      <c r="D98" s="9" t="n"/>
      <c r="F98" s="10" t="inlineStr"/>
      <c r="G98">
        <f>IF(F98="","",F98-TODAY())</f>
        <v/>
      </c>
      <c r="H98">
        <f>IF(B98="","",IF(F98="",IF(D98="","Missing","Recorded"),IF(G98&lt;0,"OVERDUE",IF(G98&lt;=60,"Due soon","OK"))))</f>
        <v/>
      </c>
      <c r="I98" t="inlineStr">
        <is>
          <t>Before the tenancy starts; repeat check before a time-limited permission expires.</t>
        </is>
      </c>
      <c r="J98" t="inlineStr">
        <is>
          <t>gov.uk/check-tenant-right-to-rent-documents</t>
        </is>
      </c>
    </row>
    <row r="99">
      <c r="A99" t="n">
        <v>10</v>
      </c>
      <c r="B99">
        <f>IF(Properties!B11="","",Properties!B11)</f>
        <v/>
      </c>
      <c r="C99" t="inlineStr">
        <is>
          <t>Licence (HMO / selective) expiry</t>
        </is>
      </c>
      <c r="D99" s="9" t="n"/>
      <c r="F99" s="10">
        <f>IF(D99="","",D99)</f>
        <v/>
      </c>
      <c r="G99">
        <f>IF(F99="","",F99-TODAY())</f>
        <v/>
      </c>
      <c r="H99">
        <f>IF(B99="","",IF(F99="",IF(D99="","Missing","Recorded"),IF(G99&lt;0,"OVERDUE",IF(G99&lt;=60,"Due soon","OK"))))</f>
        <v/>
      </c>
      <c r="I99" t="inlineStr">
        <is>
          <t>If your council requires a licence, enter its expiry date. Licences usually last up to 5 years.</t>
        </is>
      </c>
      <c r="J99" t="inlineStr">
        <is>
          <t>gov.uk/house-in-multiple-occupation-licence</t>
        </is>
      </c>
    </row>
    <row r="100">
      <c r="A100" t="n">
        <v>10</v>
      </c>
      <c r="B100">
        <f>IF(Properties!B11="","",Properties!B11)</f>
        <v/>
      </c>
      <c r="C100" t="inlineStr">
        <is>
          <t>Landlord insurance renewal</t>
        </is>
      </c>
      <c r="D100" s="9" t="n"/>
      <c r="E100" t="n">
        <v>12</v>
      </c>
      <c r="F100" s="10">
        <f>IF(D100="","",EDATE(D100,E100))</f>
        <v/>
      </c>
      <c r="G100">
        <f>IF(F100="","",F100-TODAY())</f>
        <v/>
      </c>
      <c r="H100">
        <f>IF(B100="","",IF(F100="",IF(D100="","Missing","Recorded"),IF(G100&lt;0,"OVERDUE",IF(G100&lt;=60,"Due soon","OK"))))</f>
        <v/>
      </c>
      <c r="I100" t="inlineStr">
        <is>
          <t>Your policy renewal date.</t>
        </is>
      </c>
      <c r="J100" t="inlineStr"/>
    </row>
    <row r="101">
      <c r="A101" t="n">
        <v>10</v>
      </c>
      <c r="B101">
        <f>IF(Properties!B11="","",Properties!B11)</f>
        <v/>
      </c>
      <c r="C101" t="inlineStr">
        <is>
          <t>Legionella risk assessment review</t>
        </is>
      </c>
      <c r="D101" s="9" t="n"/>
      <c r="F101" s="10" t="inlineStr"/>
      <c r="G101">
        <f>IF(F101="","",F101-TODAY())</f>
        <v/>
      </c>
      <c r="H101">
        <f>IF(B101="","",IF(F101="",IF(D101="","Missing","Recorded"),IF(G101&lt;0,"OVERDUE",IF(G101&lt;=60,"Due soon","OK"))))</f>
        <v/>
      </c>
      <c r="I101" t="inlineStr">
        <is>
          <t>Landlords must assess legionella risk. The law sets no fixed interval; review when anything changes.</t>
        </is>
      </c>
      <c r="J101" t="inlineStr">
        <is>
          <t>hse.gov.uk/legionnaires/landlords.htm</t>
        </is>
      </c>
    </row>
  </sheetData>
  <autoFilter ref="A1:J101"/>
  <conditionalFormatting sqref="H2:H101">
    <cfRule type="expression" priority="1" dxfId="0">
      <formula>OR(H2="OVERDUE",H2="Missing")</formula>
    </cfRule>
    <cfRule type="expression" priority="2" dxfId="1">
      <formula>H2="Due soon"</formula>
    </cfRule>
    <cfRule type="expression" priority="3" dxfId="2">
      <formula>OR(H2="OK",H2="Recorded")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  <col width="8" customWidth="1" min="3" max="3"/>
    <col width="50" customWidth="1" min="4" max="4"/>
  </cols>
  <sheetData>
    <row r="1">
      <c r="A1" s="7" t="inlineStr">
        <is>
          <t>When / topic</t>
        </is>
      </c>
      <c r="B1" s="7" t="inlineStr">
        <is>
          <t>What it means for you</t>
        </is>
      </c>
      <c r="C1" s="7" t="inlineStr">
        <is>
          <t>Done?</t>
        </is>
      </c>
      <c r="D1" s="7" t="inlineStr">
        <is>
          <t>Source</t>
        </is>
      </c>
    </row>
    <row r="2">
      <c r="A2" t="inlineStr">
        <is>
          <t>1 May 2026</t>
        </is>
      </c>
      <c r="B2" s="11" t="inlineStr">
        <is>
          <t>Fixed-term assured shorthold tenancies became assured periodic tenancies. Section 21 'no fault' evictions ended; possession now only via Section 8 grounds.</t>
        </is>
      </c>
      <c r="C2" s="8" t="n"/>
      <c r="D2" t="inlineStr">
        <is>
          <t>legislation.gov.uk/uksi/2026/421/made</t>
        </is>
      </c>
    </row>
    <row r="3">
      <c r="A3" t="inlineStr">
        <is>
          <t>31 May 2026</t>
        </is>
      </c>
      <c r="B3" s="11" t="inlineStr">
        <is>
          <t>Existing written tenancies: give every named tenant the government's 'Renters' Rights Act Information Sheet 2026' (exact gov.uk PDF). Fine up to £7,000 if not given.</t>
        </is>
      </c>
      <c r="C3" s="8" t="n"/>
      <c r="D3" t="inlineStr">
        <is>
          <t>gov.uk (search 'Renters' Rights Act Information Sheet 2026')</t>
        </is>
      </c>
    </row>
    <row r="4">
      <c r="A4" t="inlineStr">
        <is>
          <t>New tenancies from 1 May 2026</t>
        </is>
      </c>
      <c r="B4" s="11" t="inlineStr">
        <is>
          <t>Provide a written statement of terms before the tenancy starts.</t>
        </is>
      </c>
      <c r="C4" s="8" t="n"/>
      <c r="D4" t="inlineStr">
        <is>
          <t>gov.uk/guidance/renters-rights-act-2025</t>
        </is>
      </c>
    </row>
    <row r="5">
      <c r="A5" t="inlineStr">
        <is>
          <t>Rent increases</t>
        </is>
      </c>
      <c r="B5" s="11" t="inlineStr">
        <is>
          <t>Only once a year, using the Section 13 notice procedure; tenants can challenge at tribunal.</t>
        </is>
      </c>
      <c r="C5" s="8" t="n"/>
      <c r="D5" t="inlineStr">
        <is>
          <t>gov.uk/guidance/renters-rights-act-2025</t>
        </is>
      </c>
    </row>
    <row r="6">
      <c r="A6" t="inlineStr">
        <is>
          <t>Pets</t>
        </is>
      </c>
      <c r="B6" s="11" t="inlineStr">
        <is>
          <t>Tenants can ask to keep a pet; you must not unreasonably refuse and must reply in writing.</t>
        </is>
      </c>
      <c r="C6" s="8" t="n"/>
      <c r="D6" t="inlineStr">
        <is>
          <t>gov.uk/guidance/renters-rights-act-2025</t>
        </is>
      </c>
    </row>
    <row r="7">
      <c r="A7" t="inlineStr">
        <is>
          <t>Discrimination</t>
        </is>
      </c>
      <c r="B7" s="11" t="inlineStr">
        <is>
          <t>Must not refuse tenants because they have children or receive benefits.</t>
        </is>
      </c>
      <c r="C7" s="8" t="n"/>
      <c r="D7" t="inlineStr">
        <is>
          <t>gov.uk/guidance/renters-rights-act-2025</t>
        </is>
      </c>
    </row>
    <row r="8">
      <c r="A8" t="inlineStr">
        <is>
          <t>Rental bidding</t>
        </is>
      </c>
      <c r="B8" s="11" t="inlineStr">
        <is>
          <t>Must advertise a rent and not accept offers above it.</t>
        </is>
      </c>
      <c r="C8" s="8" t="n"/>
      <c r="D8" t="inlineStr">
        <is>
          <t>gov.uk/guidance/renters-rights-act-2025</t>
        </is>
      </c>
    </row>
    <row r="9">
      <c r="A9" t="inlineStr">
        <is>
          <t>Later phases</t>
        </is>
      </c>
      <c r="B9" s="11" t="inlineStr">
        <is>
          <t>Private Rented Sector Database registration, Landlord Ombudsman membership and Decent Homes Standard - dates to be confirmed by government. Check before letting.</t>
        </is>
      </c>
      <c r="C9" s="8" t="n"/>
      <c r="D9" t="inlineStr">
        <is>
          <t>gov.uk/guidance/renters-rights-act-2025</t>
        </is>
      </c>
    </row>
    <row r="11">
      <c r="A11" s="6" t="inlineStr">
        <is>
          <t>For landlords letting in England. A record-keeping aid, not legal advice. Rules differ in Wales, Scotland and Northern Ireland. Always check the linked gov.uk source; rules change.</t>
        </is>
      </c>
    </row>
  </sheetData>
  <dataValidations count="1">
    <dataValidation sqref="C2 C3 C4 C5 C6 C7 C8 C9" showDropDown="0" showInputMessage="0" showErrorMessage="0" allowBlank="1" type="list">
      <formula1>"Yes,No,N/A"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2026-09-25T18:47:31Z</dcterms:created>
  <dcterms:modified xsi:type="dcterms:W3CDTF">2026-09-25T18:47:31Z</dcterms:modified>
</cp:coreProperties>
</file>