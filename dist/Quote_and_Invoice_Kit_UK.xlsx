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y business" sheetId="1" state="visible" r:id="rId1"/>
    <sheet name="Quote" sheetId="2" state="visible" r:id="rId2"/>
    <sheet name="Invoice" sheetId="3" state="visible" r:id="rId3"/>
    <sheet name="Invoice log" sheetId="4" state="visible" r:id="rId4"/>
    <sheet name="How to use" sheetId="5" state="visible" r:id="rId5"/>
  </sheets>
  <definedNames>
    <definedName name="_xlnm.Print_Area" localSheetId="1">'Quote'!$A$1:$E$30</definedName>
    <definedName name="_xlnm.Print_Area" localSheetId="2">'Invoice'!$A$1:$E$30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£#,##0.00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  <sz val="18"/>
    </font>
    <font>
      <b val="1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7F3F00"/>
      </patternFill>
    </fill>
  </fills>
  <borders count="2">
    <border>
      <left/>
      <right/>
      <top/>
      <bottom/>
      <diagonal/>
    </border>
    <border>
      <bottom style="thin">
        <color rgb="0099999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0" fillId="2" borderId="0" pivotButton="0" quotePrefix="0" xfId="0"/>
    <xf numFmtId="164" fontId="0" fillId="0" borderId="0" pivotButton="0" quotePrefix="0" xfId="0"/>
    <xf numFmtId="0" fontId="4" fillId="3" borderId="0" pivotButton="0" quotePrefix="0" xfId="0"/>
    <xf numFmtId="0" fontId="0" fillId="2" borderId="1" pivotButton="0" quotePrefix="0" xfId="0"/>
    <xf numFmtId="165" fontId="0" fillId="2" borderId="1" pivotButton="0" quotePrefix="0" xfId="0"/>
    <xf numFmtId="9" fontId="0" fillId="2" borderId="1" pivotButton="0" quotePrefix="0" xfId="0"/>
    <xf numFmtId="165" fontId="0" fillId="0" borderId="0" pivotButton="0" quotePrefix="0" xfId="0"/>
    <xf numFmtId="0" fontId="5" fillId="0" borderId="0" pivotButton="0" quotePrefix="0" xfId="0"/>
    <xf numFmtId="165" fontId="5" fillId="0" borderId="0" pivotButton="0" quotePrefix="0" xfId="0"/>
    <xf numFmtId="0" fontId="0" fillId="0" borderId="0" applyAlignment="1" pivotButton="0" quotePrefix="0" xfId="0">
      <alignment wrapText="1"/>
    </xf>
    <xf numFmtId="165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4" customWidth="1" min="1" max="1"/>
    <col width="44" customWidth="1" min="2" max="2"/>
  </cols>
  <sheetData>
    <row r="1">
      <c r="A1" s="1" t="inlineStr">
        <is>
          <t>Your details (fill in once – used on every quote and invoice)</t>
        </is>
      </c>
    </row>
    <row r="3">
      <c r="A3" t="inlineStr">
        <is>
          <t>Business / trading name</t>
        </is>
      </c>
      <c r="B3" s="2" t="n"/>
    </row>
    <row r="4">
      <c r="A4" t="inlineStr">
        <is>
          <t>Your name (sole traders must show it)</t>
        </is>
      </c>
      <c r="B4" s="2" t="n"/>
    </row>
    <row r="5">
      <c r="A5" t="inlineStr">
        <is>
          <t>Address line 1</t>
        </is>
      </c>
      <c r="B5" s="2" t="n"/>
    </row>
    <row r="6">
      <c r="A6" t="inlineStr">
        <is>
          <t>Address line 2</t>
        </is>
      </c>
      <c r="B6" s="2" t="n"/>
    </row>
    <row r="7">
      <c r="A7" t="inlineStr">
        <is>
          <t>Town / postcode</t>
        </is>
      </c>
      <c r="B7" s="2" t="n"/>
    </row>
    <row r="8">
      <c r="A8" t="inlineStr">
        <is>
          <t>Phone</t>
        </is>
      </c>
      <c r="B8" s="2" t="n"/>
    </row>
    <row r="9">
      <c r="A9" t="inlineStr">
        <is>
          <t>Email</t>
        </is>
      </c>
      <c r="B9" s="2" t="n"/>
    </row>
    <row r="10">
      <c r="A10" t="inlineStr">
        <is>
          <t>Company number (if limited)</t>
        </is>
      </c>
      <c r="B10" s="2" t="n"/>
    </row>
    <row r="11">
      <c r="A11" t="inlineStr">
        <is>
          <t>VAT registered? (Yes/No)</t>
        </is>
      </c>
      <c r="B11" s="2" t="inlineStr">
        <is>
          <t>No</t>
        </is>
      </c>
    </row>
    <row r="12">
      <c r="A12" t="inlineStr">
        <is>
          <t>VAT number</t>
        </is>
      </c>
      <c r="B12" s="2" t="n"/>
    </row>
    <row r="13">
      <c r="A13" t="inlineStr">
        <is>
          <t>Bank name</t>
        </is>
      </c>
      <c r="B13" s="2" t="n"/>
    </row>
    <row r="14">
      <c r="A14" t="inlineStr">
        <is>
          <t>Sort code</t>
        </is>
      </c>
      <c r="B14" s="2" t="n"/>
    </row>
    <row r="15">
      <c r="A15" t="inlineStr">
        <is>
          <t>Account number</t>
        </is>
      </c>
      <c r="B15" s="2" t="n"/>
    </row>
    <row r="16">
      <c r="A16" t="inlineStr">
        <is>
          <t>Payment terms (days)</t>
        </is>
      </c>
      <c r="B16" s="2" t="n">
        <v>30</v>
      </c>
    </row>
    <row r="17">
      <c r="A17" t="inlineStr">
        <is>
          <t>Next invoice number</t>
        </is>
      </c>
      <c r="B17" s="2" t="n">
        <v>1001</v>
      </c>
    </row>
  </sheetData>
  <dataValidations count="1">
    <dataValidation sqref="B11" showDropDown="0" showInputMessage="0" showErrorMessage="0" allowBlank="0" type="list">
      <formula1>"Yes,No"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44" customWidth="1" min="1" max="1"/>
    <col width="10" customWidth="1" min="2" max="2"/>
    <col width="14" customWidth="1" min="3" max="3"/>
    <col width="10" customWidth="1" min="4" max="4"/>
    <col width="14" customWidth="1" min="5" max="5"/>
    <col hidden="1" width="4" customWidth="1" min="6" max="6"/>
  </cols>
  <sheetData>
    <row r="1">
      <c r="A1" s="3">
        <f>'My business'!B3</f>
        <v/>
      </c>
      <c r="D1" s="3" t="inlineStr">
        <is>
          <t>QUOTE</t>
        </is>
      </c>
    </row>
    <row r="2">
      <c r="A2">
        <f>'My business'!B4&amp;" · "&amp;'My business'!B5&amp;", "&amp;'My business'!B6&amp;", "&amp;'My business'!B7</f>
        <v/>
      </c>
    </row>
    <row r="3">
      <c r="A3">
        <f>'My business'!B8&amp;" · "&amp;'My business'!B9&amp;IF('My business'!B10&lt;&gt;"","  ·  Company no. "&amp;'My business'!B10,"")</f>
        <v/>
      </c>
    </row>
    <row r="5">
      <c r="A5" s="4" t="inlineStr">
        <is>
          <t>To:</t>
        </is>
      </c>
      <c r="D5" t="inlineStr">
        <is>
          <t>Quote no.</t>
        </is>
      </c>
      <c r="E5" s="2" t="n"/>
    </row>
    <row r="6">
      <c r="A6" s="2" t="n"/>
      <c r="D6" t="inlineStr">
        <is>
          <t>Quote date</t>
        </is>
      </c>
      <c r="E6" s="5" t="n"/>
    </row>
    <row r="7">
      <c r="A7" s="2" t="n"/>
      <c r="D7" t="inlineStr">
        <is>
          <t>Valid until</t>
        </is>
      </c>
      <c r="E7" s="6">
        <f>IF(E6="","",E6+30)</f>
        <v/>
      </c>
    </row>
    <row r="8">
      <c r="A8" s="2" t="n"/>
    </row>
    <row r="9">
      <c r="A9" s="2" t="n"/>
    </row>
    <row r="11">
      <c r="A11" s="7" t="inlineStr">
        <is>
          <t>Description</t>
        </is>
      </c>
      <c r="B11" s="7" t="inlineStr">
        <is>
          <t>Qty</t>
        </is>
      </c>
      <c r="C11" s="7" t="inlineStr">
        <is>
          <t>Unit price £</t>
        </is>
      </c>
      <c r="D11" s="7" t="inlineStr">
        <is>
          <t>VAT %</t>
        </is>
      </c>
      <c r="E11" s="7" t="inlineStr">
        <is>
          <t>Line total £</t>
        </is>
      </c>
    </row>
    <row r="12">
      <c r="A12" s="8" t="n"/>
      <c r="B12" s="8" t="n"/>
      <c r="C12" s="9" t="n"/>
      <c r="D12" s="10" t="n"/>
      <c r="E12" s="11">
        <f>IF(B12="","",B12*C12)</f>
        <v/>
      </c>
      <c r="F12">
        <f>IF(E12="",0,E12*N(D12))</f>
        <v/>
      </c>
    </row>
    <row r="13">
      <c r="A13" s="8" t="n"/>
      <c r="B13" s="8" t="n"/>
      <c r="C13" s="9" t="n"/>
      <c r="D13" s="10" t="n"/>
      <c r="E13" s="11">
        <f>IF(B13="","",B13*C13)</f>
        <v/>
      </c>
      <c r="F13">
        <f>IF(E13="",0,E13*N(D13))</f>
        <v/>
      </c>
    </row>
    <row r="14">
      <c r="A14" s="8" t="n"/>
      <c r="B14" s="8" t="n"/>
      <c r="C14" s="9" t="n"/>
      <c r="D14" s="10" t="n"/>
      <c r="E14" s="11">
        <f>IF(B14="","",B14*C14)</f>
        <v/>
      </c>
      <c r="F14">
        <f>IF(E14="",0,E14*N(D14))</f>
        <v/>
      </c>
    </row>
    <row r="15">
      <c r="A15" s="8" t="n"/>
      <c r="B15" s="8" t="n"/>
      <c r="C15" s="9" t="n"/>
      <c r="D15" s="10" t="n"/>
      <c r="E15" s="11">
        <f>IF(B15="","",B15*C15)</f>
        <v/>
      </c>
      <c r="F15">
        <f>IF(E15="",0,E15*N(D15))</f>
        <v/>
      </c>
    </row>
    <row r="16">
      <c r="A16" s="8" t="n"/>
      <c r="B16" s="8" t="n"/>
      <c r="C16" s="9" t="n"/>
      <c r="D16" s="10" t="n"/>
      <c r="E16" s="11">
        <f>IF(B16="","",B16*C16)</f>
        <v/>
      </c>
      <c r="F16">
        <f>IF(E16="",0,E16*N(D16))</f>
        <v/>
      </c>
    </row>
    <row r="17">
      <c r="A17" s="8" t="n"/>
      <c r="B17" s="8" t="n"/>
      <c r="C17" s="9" t="n"/>
      <c r="D17" s="10" t="n"/>
      <c r="E17" s="11">
        <f>IF(B17="","",B17*C17)</f>
        <v/>
      </c>
      <c r="F17">
        <f>IF(E17="",0,E17*N(D17))</f>
        <v/>
      </c>
    </row>
    <row r="18">
      <c r="A18" s="8" t="n"/>
      <c r="B18" s="8" t="n"/>
      <c r="C18" s="9" t="n"/>
      <c r="D18" s="10" t="n"/>
      <c r="E18" s="11">
        <f>IF(B18="","",B18*C18)</f>
        <v/>
      </c>
      <c r="F18">
        <f>IF(E18="",0,E18*N(D18))</f>
        <v/>
      </c>
    </row>
    <row r="19">
      <c r="A19" s="8" t="n"/>
      <c r="B19" s="8" t="n"/>
      <c r="C19" s="9" t="n"/>
      <c r="D19" s="10" t="n"/>
      <c r="E19" s="11">
        <f>IF(B19="","",B19*C19)</f>
        <v/>
      </c>
      <c r="F19">
        <f>IF(E19="",0,E19*N(D19))</f>
        <v/>
      </c>
    </row>
    <row r="20">
      <c r="A20" s="8" t="n"/>
      <c r="B20" s="8" t="n"/>
      <c r="C20" s="9" t="n"/>
      <c r="D20" s="10" t="n"/>
      <c r="E20" s="11">
        <f>IF(B20="","",B20*C20)</f>
        <v/>
      </c>
      <c r="F20">
        <f>IF(E20="",0,E20*N(D20))</f>
        <v/>
      </c>
    </row>
    <row r="21">
      <c r="A21" s="8" t="n"/>
      <c r="B21" s="8" t="n"/>
      <c r="C21" s="9" t="n"/>
      <c r="D21" s="10" t="n"/>
      <c r="E21" s="11">
        <f>IF(B21="","",B21*C21)</f>
        <v/>
      </c>
      <c r="F21">
        <f>IF(E21="",0,E21*N(D21))</f>
        <v/>
      </c>
    </row>
    <row r="22">
      <c r="A22" s="8" t="n"/>
      <c r="B22" s="8" t="n"/>
      <c r="C22" s="9" t="n"/>
      <c r="D22" s="10" t="n"/>
      <c r="E22" s="11">
        <f>IF(B22="","",B22*C22)</f>
        <v/>
      </c>
      <c r="F22">
        <f>IF(E22="",0,E22*N(D22))</f>
        <v/>
      </c>
    </row>
    <row r="23">
      <c r="A23" s="8" t="n"/>
      <c r="B23" s="8" t="n"/>
      <c r="C23" s="9" t="n"/>
      <c r="D23" s="10" t="n"/>
      <c r="E23" s="11">
        <f>IF(B23="","",B23*C23)</f>
        <v/>
      </c>
      <c r="F23">
        <f>IF(E23="",0,E23*N(D23))</f>
        <v/>
      </c>
    </row>
    <row r="25">
      <c r="D25" t="inlineStr">
        <is>
          <t>Subtotal</t>
        </is>
      </c>
      <c r="E25" s="11">
        <f>SUM(E12:E23)</f>
        <v/>
      </c>
    </row>
    <row r="26">
      <c r="D26" t="inlineStr">
        <is>
          <t>VAT</t>
        </is>
      </c>
      <c r="E26" s="11">
        <f>IF('My business'!B11="Yes",SUM(F12:F23),0)</f>
        <v/>
      </c>
    </row>
    <row r="27">
      <c r="D27" s="12" t="inlineStr">
        <is>
          <t>TOTAL</t>
        </is>
      </c>
      <c r="E27" s="13">
        <f>E25+E26</f>
        <v/>
      </c>
    </row>
    <row r="29">
      <c r="A29" s="14" t="inlineStr">
        <is>
          <t>This quote is a fixed price for the work described. Anything extra will be quoted before it is done.</t>
        </is>
      </c>
    </row>
    <row r="30">
      <c r="A30">
        <f>IF('My business'!B11="Yes","Prices include VAT where shown. VAT number: "&amp;'My business'!B12,"Not VAT registered – no VAT charged.")</f>
        <v/>
      </c>
    </row>
  </sheetData>
  <dataValidations count="1">
    <dataValidation sqref="D12 D13 D14 D15 D16 D17 D18 D19 D20 D21 D22 D23" showDropDown="0" showInputMessage="0" showErrorMessage="0" allowBlank="1" type="list">
      <formula1>"0.2,0.05,0"</formula1>
    </dataValidation>
  </dataValidations>
  <pageMargins left="0.75" right="0.75" top="1" bottom="1" header="0.5" footer="0.5"/>
  <pageSetup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44" customWidth="1" min="1" max="1"/>
    <col width="10" customWidth="1" min="2" max="2"/>
    <col width="14" customWidth="1" min="3" max="3"/>
    <col width="10" customWidth="1" min="4" max="4"/>
    <col width="14" customWidth="1" min="5" max="5"/>
    <col hidden="1" width="4" customWidth="1" min="6" max="6"/>
  </cols>
  <sheetData>
    <row r="1">
      <c r="A1" s="3">
        <f>'My business'!B3</f>
        <v/>
      </c>
      <c r="D1" s="3" t="inlineStr">
        <is>
          <t>INVOICE</t>
        </is>
      </c>
    </row>
    <row r="2">
      <c r="A2">
        <f>'My business'!B4&amp;" · "&amp;'My business'!B5&amp;", "&amp;'My business'!B6&amp;", "&amp;'My business'!B7</f>
        <v/>
      </c>
    </row>
    <row r="3">
      <c r="A3">
        <f>'My business'!B8&amp;" · "&amp;'My business'!B9&amp;IF('My business'!B10&lt;&gt;"","  ·  Company no. "&amp;'My business'!B10,"")</f>
        <v/>
      </c>
    </row>
    <row r="5">
      <c r="A5" s="4" t="inlineStr">
        <is>
          <t>To:</t>
        </is>
      </c>
      <c r="D5" t="inlineStr">
        <is>
          <t>Invoice no.</t>
        </is>
      </c>
      <c r="E5" s="2">
        <f>'My business'!B17</f>
        <v/>
      </c>
    </row>
    <row r="6">
      <c r="A6" s="2" t="n"/>
      <c r="D6" t="inlineStr">
        <is>
          <t>Invoice date</t>
        </is>
      </c>
      <c r="E6" s="5" t="n"/>
    </row>
    <row r="7">
      <c r="A7" s="2" t="n"/>
      <c r="D7" t="inlineStr">
        <is>
          <t>Tax point / supply date</t>
        </is>
      </c>
      <c r="E7" s="5" t="n"/>
    </row>
    <row r="8">
      <c r="A8" s="2" t="n"/>
      <c r="D8" t="inlineStr">
        <is>
          <t>Due date</t>
        </is>
      </c>
      <c r="E8" s="6">
        <f>IF(E6="","",E6+'My business'!B16)</f>
        <v/>
      </c>
    </row>
    <row r="9">
      <c r="A9" s="2" t="n"/>
    </row>
    <row r="11">
      <c r="A11" s="7" t="inlineStr">
        <is>
          <t>Description</t>
        </is>
      </c>
      <c r="B11" s="7" t="inlineStr">
        <is>
          <t>Qty</t>
        </is>
      </c>
      <c r="C11" s="7" t="inlineStr">
        <is>
          <t>Unit price £</t>
        </is>
      </c>
      <c r="D11" s="7" t="inlineStr">
        <is>
          <t>VAT %</t>
        </is>
      </c>
      <c r="E11" s="7" t="inlineStr">
        <is>
          <t>Line total £</t>
        </is>
      </c>
    </row>
    <row r="12">
      <c r="A12" s="8" t="n"/>
      <c r="B12" s="8" t="n"/>
      <c r="C12" s="9" t="n"/>
      <c r="D12" s="10" t="n"/>
      <c r="E12" s="11">
        <f>IF(B12="","",B12*C12)</f>
        <v/>
      </c>
      <c r="F12">
        <f>IF(E12="",0,E12*N(D12))</f>
        <v/>
      </c>
    </row>
    <row r="13">
      <c r="A13" s="8" t="n"/>
      <c r="B13" s="8" t="n"/>
      <c r="C13" s="9" t="n"/>
      <c r="D13" s="10" t="n"/>
      <c r="E13" s="11">
        <f>IF(B13="","",B13*C13)</f>
        <v/>
      </c>
      <c r="F13">
        <f>IF(E13="",0,E13*N(D13))</f>
        <v/>
      </c>
    </row>
    <row r="14">
      <c r="A14" s="8" t="n"/>
      <c r="B14" s="8" t="n"/>
      <c r="C14" s="9" t="n"/>
      <c r="D14" s="10" t="n"/>
      <c r="E14" s="11">
        <f>IF(B14="","",B14*C14)</f>
        <v/>
      </c>
      <c r="F14">
        <f>IF(E14="",0,E14*N(D14))</f>
        <v/>
      </c>
    </row>
    <row r="15">
      <c r="A15" s="8" t="n"/>
      <c r="B15" s="8" t="n"/>
      <c r="C15" s="9" t="n"/>
      <c r="D15" s="10" t="n"/>
      <c r="E15" s="11">
        <f>IF(B15="","",B15*C15)</f>
        <v/>
      </c>
      <c r="F15">
        <f>IF(E15="",0,E15*N(D15))</f>
        <v/>
      </c>
    </row>
    <row r="16">
      <c r="A16" s="8" t="n"/>
      <c r="B16" s="8" t="n"/>
      <c r="C16" s="9" t="n"/>
      <c r="D16" s="10" t="n"/>
      <c r="E16" s="11">
        <f>IF(B16="","",B16*C16)</f>
        <v/>
      </c>
      <c r="F16">
        <f>IF(E16="",0,E16*N(D16))</f>
        <v/>
      </c>
    </row>
    <row r="17">
      <c r="A17" s="8" t="n"/>
      <c r="B17" s="8" t="n"/>
      <c r="C17" s="9" t="n"/>
      <c r="D17" s="10" t="n"/>
      <c r="E17" s="11">
        <f>IF(B17="","",B17*C17)</f>
        <v/>
      </c>
      <c r="F17">
        <f>IF(E17="",0,E17*N(D17))</f>
        <v/>
      </c>
    </row>
    <row r="18">
      <c r="A18" s="8" t="n"/>
      <c r="B18" s="8" t="n"/>
      <c r="C18" s="9" t="n"/>
      <c r="D18" s="10" t="n"/>
      <c r="E18" s="11">
        <f>IF(B18="","",B18*C18)</f>
        <v/>
      </c>
      <c r="F18">
        <f>IF(E18="",0,E18*N(D18))</f>
        <v/>
      </c>
    </row>
    <row r="19">
      <c r="A19" s="8" t="n"/>
      <c r="B19" s="8" t="n"/>
      <c r="C19" s="9" t="n"/>
      <c r="D19" s="10" t="n"/>
      <c r="E19" s="11">
        <f>IF(B19="","",B19*C19)</f>
        <v/>
      </c>
      <c r="F19">
        <f>IF(E19="",0,E19*N(D19))</f>
        <v/>
      </c>
    </row>
    <row r="20">
      <c r="A20" s="8" t="n"/>
      <c r="B20" s="8" t="n"/>
      <c r="C20" s="9" t="n"/>
      <c r="D20" s="10" t="n"/>
      <c r="E20" s="11">
        <f>IF(B20="","",B20*C20)</f>
        <v/>
      </c>
      <c r="F20">
        <f>IF(E20="",0,E20*N(D20))</f>
        <v/>
      </c>
    </row>
    <row r="21">
      <c r="A21" s="8" t="n"/>
      <c r="B21" s="8" t="n"/>
      <c r="C21" s="9" t="n"/>
      <c r="D21" s="10" t="n"/>
      <c r="E21" s="11">
        <f>IF(B21="","",B21*C21)</f>
        <v/>
      </c>
      <c r="F21">
        <f>IF(E21="",0,E21*N(D21))</f>
        <v/>
      </c>
    </row>
    <row r="22">
      <c r="A22" s="8" t="n"/>
      <c r="B22" s="8" t="n"/>
      <c r="C22" s="9" t="n"/>
      <c r="D22" s="10" t="n"/>
      <c r="E22" s="11">
        <f>IF(B22="","",B22*C22)</f>
        <v/>
      </c>
      <c r="F22">
        <f>IF(E22="",0,E22*N(D22))</f>
        <v/>
      </c>
    </row>
    <row r="23">
      <c r="A23" s="8" t="n"/>
      <c r="B23" s="8" t="n"/>
      <c r="C23" s="9" t="n"/>
      <c r="D23" s="10" t="n"/>
      <c r="E23" s="11">
        <f>IF(B23="","",B23*C23)</f>
        <v/>
      </c>
      <c r="F23">
        <f>IF(E23="",0,E23*N(D23))</f>
        <v/>
      </c>
    </row>
    <row r="25">
      <c r="D25" t="inlineStr">
        <is>
          <t>Subtotal</t>
        </is>
      </c>
      <c r="E25" s="11">
        <f>SUM(E12:E23)</f>
        <v/>
      </c>
    </row>
    <row r="26">
      <c r="D26" t="inlineStr">
        <is>
          <t>VAT</t>
        </is>
      </c>
      <c r="E26" s="11">
        <f>IF('My business'!B11="Yes",SUM(F12:F23),0)</f>
        <v/>
      </c>
    </row>
    <row r="27">
      <c r="D27" s="12" t="inlineStr">
        <is>
          <t>TOTAL</t>
        </is>
      </c>
      <c r="E27" s="13">
        <f>E25+E26</f>
        <v/>
      </c>
    </row>
    <row r="29">
      <c r="A29" s="14">
        <f>"Please pay to "&amp;'My business'!B13&amp;" · Sort code "&amp;'My business'!B14&amp;" · Account "&amp;'My business'!B15&amp;" · Reference: "&amp;E5</f>
        <v/>
      </c>
    </row>
    <row r="30">
      <c r="A30">
        <f>IF('My business'!B11="Yes","VAT number: "&amp;'My business'!B12,"Not VAT registered – no VAT charged.")</f>
        <v/>
      </c>
    </row>
  </sheetData>
  <dataValidations count="1">
    <dataValidation sqref="D12 D13 D14 D15 D16 D17 D18 D19 D20 D21 D22 D23" showDropDown="0" showInputMessage="0" showErrorMessage="0" allowBlank="1" type="list">
      <formula1>"0.2,0.05,0"</formula1>
    </dataValidation>
  </dataValidations>
  <pageMargins left="0.75" right="0.75" top="1" bottom="1" header="0.5" footer="0.5"/>
  <pageSetup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30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7" t="inlineStr">
        <is>
          <t>Invoice no.</t>
        </is>
      </c>
      <c r="B1" s="7" t="inlineStr">
        <is>
          <t>Date</t>
        </is>
      </c>
      <c r="C1" s="7" t="inlineStr">
        <is>
          <t>Customer</t>
        </is>
      </c>
      <c r="D1" s="7" t="inlineStr">
        <is>
          <t>Total £</t>
        </is>
      </c>
      <c r="E1" s="7" t="inlineStr">
        <is>
          <t>Paid on</t>
        </is>
      </c>
      <c r="F1" s="7" t="inlineStr">
        <is>
          <t>Days to pay</t>
        </is>
      </c>
      <c r="G1" s="7" t="inlineStr">
        <is>
          <t>Status</t>
        </is>
      </c>
    </row>
    <row r="2">
      <c r="A2" s="2" t="n"/>
      <c r="B2" s="5" t="n"/>
      <c r="C2" s="2" t="n"/>
      <c r="D2" s="15" t="n"/>
      <c r="E2" s="5" t="n"/>
      <c r="F2">
        <f>IF(OR(B2="",E2=""),"",E2-B2)</f>
        <v/>
      </c>
      <c r="G2">
        <f>IF(B2="","",IF(E2&lt;&gt;"","Paid",IF(TODAY()-B2&gt;'My business'!$B$16,"OVERDUE","Awaiting")))</f>
        <v/>
      </c>
    </row>
    <row r="3">
      <c r="A3" s="2" t="n"/>
      <c r="B3" s="5" t="n"/>
      <c r="C3" s="2" t="n"/>
      <c r="D3" s="15" t="n"/>
      <c r="E3" s="5" t="n"/>
      <c r="F3">
        <f>IF(OR(B3="",E3=""),"",E3-B3)</f>
        <v/>
      </c>
      <c r="G3">
        <f>IF(B3="","",IF(E3&lt;&gt;"","Paid",IF(TODAY()-B3&gt;'My business'!$B$16,"OVERDUE","Awaiting")))</f>
        <v/>
      </c>
    </row>
    <row r="4">
      <c r="A4" s="2" t="n"/>
      <c r="B4" s="5" t="n"/>
      <c r="C4" s="2" t="n"/>
      <c r="D4" s="15" t="n"/>
      <c r="E4" s="5" t="n"/>
      <c r="F4">
        <f>IF(OR(B4="",E4=""),"",E4-B4)</f>
        <v/>
      </c>
      <c r="G4">
        <f>IF(B4="","",IF(E4&lt;&gt;"","Paid",IF(TODAY()-B4&gt;'My business'!$B$16,"OVERDUE","Awaiting")))</f>
        <v/>
      </c>
    </row>
    <row r="5">
      <c r="A5" s="2" t="n"/>
      <c r="B5" s="5" t="n"/>
      <c r="C5" s="2" t="n"/>
      <c r="D5" s="15" t="n"/>
      <c r="E5" s="5" t="n"/>
      <c r="F5">
        <f>IF(OR(B5="",E5=""),"",E5-B5)</f>
        <v/>
      </c>
      <c r="G5">
        <f>IF(B5="","",IF(E5&lt;&gt;"","Paid",IF(TODAY()-B5&gt;'My business'!$B$16,"OVERDUE","Awaiting")))</f>
        <v/>
      </c>
    </row>
    <row r="6">
      <c r="A6" s="2" t="n"/>
      <c r="B6" s="5" t="n"/>
      <c r="C6" s="2" t="n"/>
      <c r="D6" s="15" t="n"/>
      <c r="E6" s="5" t="n"/>
      <c r="F6">
        <f>IF(OR(B6="",E6=""),"",E6-B6)</f>
        <v/>
      </c>
      <c r="G6">
        <f>IF(B6="","",IF(E6&lt;&gt;"","Paid",IF(TODAY()-B6&gt;'My business'!$B$16,"OVERDUE","Awaiting")))</f>
        <v/>
      </c>
    </row>
    <row r="7">
      <c r="A7" s="2" t="n"/>
      <c r="B7" s="5" t="n"/>
      <c r="C7" s="2" t="n"/>
      <c r="D7" s="15" t="n"/>
      <c r="E7" s="5" t="n"/>
      <c r="F7">
        <f>IF(OR(B7="",E7=""),"",E7-B7)</f>
        <v/>
      </c>
      <c r="G7">
        <f>IF(B7="","",IF(E7&lt;&gt;"","Paid",IF(TODAY()-B7&gt;'My business'!$B$16,"OVERDUE","Awaiting")))</f>
        <v/>
      </c>
    </row>
    <row r="8">
      <c r="A8" s="2" t="n"/>
      <c r="B8" s="5" t="n"/>
      <c r="C8" s="2" t="n"/>
      <c r="D8" s="15" t="n"/>
      <c r="E8" s="5" t="n"/>
      <c r="F8">
        <f>IF(OR(B8="",E8=""),"",E8-B8)</f>
        <v/>
      </c>
      <c r="G8">
        <f>IF(B8="","",IF(E8&lt;&gt;"","Paid",IF(TODAY()-B8&gt;'My business'!$B$16,"OVERDUE","Awaiting")))</f>
        <v/>
      </c>
    </row>
    <row r="9">
      <c r="A9" s="2" t="n"/>
      <c r="B9" s="5" t="n"/>
      <c r="C9" s="2" t="n"/>
      <c r="D9" s="15" t="n"/>
      <c r="E9" s="5" t="n"/>
      <c r="F9">
        <f>IF(OR(B9="",E9=""),"",E9-B9)</f>
        <v/>
      </c>
      <c r="G9">
        <f>IF(B9="","",IF(E9&lt;&gt;"","Paid",IF(TODAY()-B9&gt;'My business'!$B$16,"OVERDUE","Awaiting")))</f>
        <v/>
      </c>
    </row>
    <row r="10">
      <c r="A10" s="2" t="n"/>
      <c r="B10" s="5" t="n"/>
      <c r="C10" s="2" t="n"/>
      <c r="D10" s="15" t="n"/>
      <c r="E10" s="5" t="n"/>
      <c r="F10">
        <f>IF(OR(B10="",E10=""),"",E10-B10)</f>
        <v/>
      </c>
      <c r="G10">
        <f>IF(B10="","",IF(E10&lt;&gt;"","Paid",IF(TODAY()-B10&gt;'My business'!$B$16,"OVERDUE","Awaiting")))</f>
        <v/>
      </c>
    </row>
    <row r="11">
      <c r="A11" s="2" t="n"/>
      <c r="B11" s="5" t="n"/>
      <c r="C11" s="2" t="n"/>
      <c r="D11" s="15" t="n"/>
      <c r="E11" s="5" t="n"/>
      <c r="F11">
        <f>IF(OR(B11="",E11=""),"",E11-B11)</f>
        <v/>
      </c>
      <c r="G11">
        <f>IF(B11="","",IF(E11&lt;&gt;"","Paid",IF(TODAY()-B11&gt;'My business'!$B$16,"OVERDUE","Awaiting")))</f>
        <v/>
      </c>
    </row>
    <row r="12">
      <c r="A12" s="2" t="n"/>
      <c r="B12" s="5" t="n"/>
      <c r="C12" s="2" t="n"/>
      <c r="D12" s="15" t="n"/>
      <c r="E12" s="5" t="n"/>
      <c r="F12">
        <f>IF(OR(B12="",E12=""),"",E12-B12)</f>
        <v/>
      </c>
      <c r="G12">
        <f>IF(B12="","",IF(E12&lt;&gt;"","Paid",IF(TODAY()-B12&gt;'My business'!$B$16,"OVERDUE","Awaiting")))</f>
        <v/>
      </c>
    </row>
    <row r="13">
      <c r="A13" s="2" t="n"/>
      <c r="B13" s="5" t="n"/>
      <c r="C13" s="2" t="n"/>
      <c r="D13" s="15" t="n"/>
      <c r="E13" s="5" t="n"/>
      <c r="F13">
        <f>IF(OR(B13="",E13=""),"",E13-B13)</f>
        <v/>
      </c>
      <c r="G13">
        <f>IF(B13="","",IF(E13&lt;&gt;"","Paid",IF(TODAY()-B13&gt;'My business'!$B$16,"OVERDUE","Awaiting")))</f>
        <v/>
      </c>
    </row>
    <row r="14">
      <c r="A14" s="2" t="n"/>
      <c r="B14" s="5" t="n"/>
      <c r="C14" s="2" t="n"/>
      <c r="D14" s="15" t="n"/>
      <c r="E14" s="5" t="n"/>
      <c r="F14">
        <f>IF(OR(B14="",E14=""),"",E14-B14)</f>
        <v/>
      </c>
      <c r="G14">
        <f>IF(B14="","",IF(E14&lt;&gt;"","Paid",IF(TODAY()-B14&gt;'My business'!$B$16,"OVERDUE","Awaiting")))</f>
        <v/>
      </c>
    </row>
    <row r="15">
      <c r="A15" s="2" t="n"/>
      <c r="B15" s="5" t="n"/>
      <c r="C15" s="2" t="n"/>
      <c r="D15" s="15" t="n"/>
      <c r="E15" s="5" t="n"/>
      <c r="F15">
        <f>IF(OR(B15="",E15=""),"",E15-B15)</f>
        <v/>
      </c>
      <c r="G15">
        <f>IF(B15="","",IF(E15&lt;&gt;"","Paid",IF(TODAY()-B15&gt;'My business'!$B$16,"OVERDUE","Awaiting")))</f>
        <v/>
      </c>
    </row>
    <row r="16">
      <c r="A16" s="2" t="n"/>
      <c r="B16" s="5" t="n"/>
      <c r="C16" s="2" t="n"/>
      <c r="D16" s="15" t="n"/>
      <c r="E16" s="5" t="n"/>
      <c r="F16">
        <f>IF(OR(B16="",E16=""),"",E16-B16)</f>
        <v/>
      </c>
      <c r="G16">
        <f>IF(B16="","",IF(E16&lt;&gt;"","Paid",IF(TODAY()-B16&gt;'My business'!$B$16,"OVERDUE","Awaiting")))</f>
        <v/>
      </c>
    </row>
    <row r="17">
      <c r="A17" s="2" t="n"/>
      <c r="B17" s="5" t="n"/>
      <c r="C17" s="2" t="n"/>
      <c r="D17" s="15" t="n"/>
      <c r="E17" s="5" t="n"/>
      <c r="F17">
        <f>IF(OR(B17="",E17=""),"",E17-B17)</f>
        <v/>
      </c>
      <c r="G17">
        <f>IF(B17="","",IF(E17&lt;&gt;"","Paid",IF(TODAY()-B17&gt;'My business'!$B$16,"OVERDUE","Awaiting")))</f>
        <v/>
      </c>
    </row>
    <row r="18">
      <c r="A18" s="2" t="n"/>
      <c r="B18" s="5" t="n"/>
      <c r="C18" s="2" t="n"/>
      <c r="D18" s="15" t="n"/>
      <c r="E18" s="5" t="n"/>
      <c r="F18">
        <f>IF(OR(B18="",E18=""),"",E18-B18)</f>
        <v/>
      </c>
      <c r="G18">
        <f>IF(B18="","",IF(E18&lt;&gt;"","Paid",IF(TODAY()-B18&gt;'My business'!$B$16,"OVERDUE","Awaiting")))</f>
        <v/>
      </c>
    </row>
    <row r="19">
      <c r="A19" s="2" t="n"/>
      <c r="B19" s="5" t="n"/>
      <c r="C19" s="2" t="n"/>
      <c r="D19" s="15" t="n"/>
      <c r="E19" s="5" t="n"/>
      <c r="F19">
        <f>IF(OR(B19="",E19=""),"",E19-B19)</f>
        <v/>
      </c>
      <c r="G19">
        <f>IF(B19="","",IF(E19&lt;&gt;"","Paid",IF(TODAY()-B19&gt;'My business'!$B$16,"OVERDUE","Awaiting")))</f>
        <v/>
      </c>
    </row>
    <row r="20">
      <c r="A20" s="2" t="n"/>
      <c r="B20" s="5" t="n"/>
      <c r="C20" s="2" t="n"/>
      <c r="D20" s="15" t="n"/>
      <c r="E20" s="5" t="n"/>
      <c r="F20">
        <f>IF(OR(B20="",E20=""),"",E20-B20)</f>
        <v/>
      </c>
      <c r="G20">
        <f>IF(B20="","",IF(E20&lt;&gt;"","Paid",IF(TODAY()-B20&gt;'My business'!$B$16,"OVERDUE","Awaiting")))</f>
        <v/>
      </c>
    </row>
    <row r="21">
      <c r="A21" s="2" t="n"/>
      <c r="B21" s="5" t="n"/>
      <c r="C21" s="2" t="n"/>
      <c r="D21" s="15" t="n"/>
      <c r="E21" s="5" t="n"/>
      <c r="F21">
        <f>IF(OR(B21="",E21=""),"",E21-B21)</f>
        <v/>
      </c>
      <c r="G21">
        <f>IF(B21="","",IF(E21&lt;&gt;"","Paid",IF(TODAY()-B21&gt;'My business'!$B$16,"OVERDUE","Awaiting")))</f>
        <v/>
      </c>
    </row>
    <row r="22">
      <c r="A22" s="2" t="n"/>
      <c r="B22" s="5" t="n"/>
      <c r="C22" s="2" t="n"/>
      <c r="D22" s="15" t="n"/>
      <c r="E22" s="5" t="n"/>
      <c r="F22">
        <f>IF(OR(B22="",E22=""),"",E22-B22)</f>
        <v/>
      </c>
      <c r="G22">
        <f>IF(B22="","",IF(E22&lt;&gt;"","Paid",IF(TODAY()-B22&gt;'My business'!$B$16,"OVERDUE","Awaiting")))</f>
        <v/>
      </c>
    </row>
    <row r="23">
      <c r="A23" s="2" t="n"/>
      <c r="B23" s="5" t="n"/>
      <c r="C23" s="2" t="n"/>
      <c r="D23" s="15" t="n"/>
      <c r="E23" s="5" t="n"/>
      <c r="F23">
        <f>IF(OR(B23="",E23=""),"",E23-B23)</f>
        <v/>
      </c>
      <c r="G23">
        <f>IF(B23="","",IF(E23&lt;&gt;"","Paid",IF(TODAY()-B23&gt;'My business'!$B$16,"OVERDUE","Awaiting")))</f>
        <v/>
      </c>
    </row>
    <row r="24">
      <c r="A24" s="2" t="n"/>
      <c r="B24" s="5" t="n"/>
      <c r="C24" s="2" t="n"/>
      <c r="D24" s="15" t="n"/>
      <c r="E24" s="5" t="n"/>
      <c r="F24">
        <f>IF(OR(B24="",E24=""),"",E24-B24)</f>
        <v/>
      </c>
      <c r="G24">
        <f>IF(B24="","",IF(E24&lt;&gt;"","Paid",IF(TODAY()-B24&gt;'My business'!$B$16,"OVERDUE","Awaiting")))</f>
        <v/>
      </c>
    </row>
    <row r="25">
      <c r="A25" s="2" t="n"/>
      <c r="B25" s="5" t="n"/>
      <c r="C25" s="2" t="n"/>
      <c r="D25" s="15" t="n"/>
      <c r="E25" s="5" t="n"/>
      <c r="F25">
        <f>IF(OR(B25="",E25=""),"",E25-B25)</f>
        <v/>
      </c>
      <c r="G25">
        <f>IF(B25="","",IF(E25&lt;&gt;"","Paid",IF(TODAY()-B25&gt;'My business'!$B$16,"OVERDUE","Awaiting")))</f>
        <v/>
      </c>
    </row>
    <row r="26">
      <c r="A26" s="2" t="n"/>
      <c r="B26" s="5" t="n"/>
      <c r="C26" s="2" t="n"/>
      <c r="D26" s="15" t="n"/>
      <c r="E26" s="5" t="n"/>
      <c r="F26">
        <f>IF(OR(B26="",E26=""),"",E26-B26)</f>
        <v/>
      </c>
      <c r="G26">
        <f>IF(B26="","",IF(E26&lt;&gt;"","Paid",IF(TODAY()-B26&gt;'My business'!$B$16,"OVERDUE","Awaiting")))</f>
        <v/>
      </c>
    </row>
    <row r="27">
      <c r="A27" s="2" t="n"/>
      <c r="B27" s="5" t="n"/>
      <c r="C27" s="2" t="n"/>
      <c r="D27" s="15" t="n"/>
      <c r="E27" s="5" t="n"/>
      <c r="F27">
        <f>IF(OR(B27="",E27=""),"",E27-B27)</f>
        <v/>
      </c>
      <c r="G27">
        <f>IF(B27="","",IF(E27&lt;&gt;"","Paid",IF(TODAY()-B27&gt;'My business'!$B$16,"OVERDUE","Awaiting")))</f>
        <v/>
      </c>
    </row>
    <row r="28">
      <c r="A28" s="2" t="n"/>
      <c r="B28" s="5" t="n"/>
      <c r="C28" s="2" t="n"/>
      <c r="D28" s="15" t="n"/>
      <c r="E28" s="5" t="n"/>
      <c r="F28">
        <f>IF(OR(B28="",E28=""),"",E28-B28)</f>
        <v/>
      </c>
      <c r="G28">
        <f>IF(B28="","",IF(E28&lt;&gt;"","Paid",IF(TODAY()-B28&gt;'My business'!$B$16,"OVERDUE","Awaiting")))</f>
        <v/>
      </c>
    </row>
    <row r="29">
      <c r="A29" s="2" t="n"/>
      <c r="B29" s="5" t="n"/>
      <c r="C29" s="2" t="n"/>
      <c r="D29" s="15" t="n"/>
      <c r="E29" s="5" t="n"/>
      <c r="F29">
        <f>IF(OR(B29="",E29=""),"",E29-B29)</f>
        <v/>
      </c>
      <c r="G29">
        <f>IF(B29="","",IF(E29&lt;&gt;"","Paid",IF(TODAY()-B29&gt;'My business'!$B$16,"OVERDUE","Awaiting")))</f>
        <v/>
      </c>
    </row>
    <row r="30">
      <c r="A30" s="2" t="n"/>
      <c r="B30" s="5" t="n"/>
      <c r="C30" s="2" t="n"/>
      <c r="D30" s="15" t="n"/>
      <c r="E30" s="5" t="n"/>
      <c r="F30">
        <f>IF(OR(B30="",E30=""),"",E30-B30)</f>
        <v/>
      </c>
      <c r="G30">
        <f>IF(B30="","",IF(E30&lt;&gt;"","Paid",IF(TODAY()-B30&gt;'My business'!$B$16,"OVERDUE","Awaiting")))</f>
        <v/>
      </c>
    </row>
    <row r="31">
      <c r="A31" s="2" t="n"/>
      <c r="B31" s="5" t="n"/>
      <c r="C31" s="2" t="n"/>
      <c r="D31" s="15" t="n"/>
      <c r="E31" s="5" t="n"/>
      <c r="F31">
        <f>IF(OR(B31="",E31=""),"",E31-B31)</f>
        <v/>
      </c>
      <c r="G31">
        <f>IF(B31="","",IF(E31&lt;&gt;"","Paid",IF(TODAY()-B31&gt;'My business'!$B$16,"OVERDUE","Awaiting")))</f>
        <v/>
      </c>
    </row>
    <row r="32">
      <c r="A32" s="2" t="n"/>
      <c r="B32" s="5" t="n"/>
      <c r="C32" s="2" t="n"/>
      <c r="D32" s="15" t="n"/>
      <c r="E32" s="5" t="n"/>
      <c r="F32">
        <f>IF(OR(B32="",E32=""),"",E32-B32)</f>
        <v/>
      </c>
      <c r="G32">
        <f>IF(B32="","",IF(E32&lt;&gt;"","Paid",IF(TODAY()-B32&gt;'My business'!$B$16,"OVERDUE","Awaiting")))</f>
        <v/>
      </c>
    </row>
    <row r="33">
      <c r="A33" s="2" t="n"/>
      <c r="B33" s="5" t="n"/>
      <c r="C33" s="2" t="n"/>
      <c r="D33" s="15" t="n"/>
      <c r="E33" s="5" t="n"/>
      <c r="F33">
        <f>IF(OR(B33="",E33=""),"",E33-B33)</f>
        <v/>
      </c>
      <c r="G33">
        <f>IF(B33="","",IF(E33&lt;&gt;"","Paid",IF(TODAY()-B33&gt;'My business'!$B$16,"OVERDUE","Awaiting")))</f>
        <v/>
      </c>
    </row>
    <row r="34">
      <c r="A34" s="2" t="n"/>
      <c r="B34" s="5" t="n"/>
      <c r="C34" s="2" t="n"/>
      <c r="D34" s="15" t="n"/>
      <c r="E34" s="5" t="n"/>
      <c r="F34">
        <f>IF(OR(B34="",E34=""),"",E34-B34)</f>
        <v/>
      </c>
      <c r="G34">
        <f>IF(B34="","",IF(E34&lt;&gt;"","Paid",IF(TODAY()-B34&gt;'My business'!$B$16,"OVERDUE","Awaiting")))</f>
        <v/>
      </c>
    </row>
    <row r="35">
      <c r="A35" s="2" t="n"/>
      <c r="B35" s="5" t="n"/>
      <c r="C35" s="2" t="n"/>
      <c r="D35" s="15" t="n"/>
      <c r="E35" s="5" t="n"/>
      <c r="F35">
        <f>IF(OR(B35="",E35=""),"",E35-B35)</f>
        <v/>
      </c>
      <c r="G35">
        <f>IF(B35="","",IF(E35&lt;&gt;"","Paid",IF(TODAY()-B35&gt;'My business'!$B$16,"OVERDUE","Awaiting")))</f>
        <v/>
      </c>
    </row>
    <row r="36">
      <c r="A36" s="2" t="n"/>
      <c r="B36" s="5" t="n"/>
      <c r="C36" s="2" t="n"/>
      <c r="D36" s="15" t="n"/>
      <c r="E36" s="5" t="n"/>
      <c r="F36">
        <f>IF(OR(B36="",E36=""),"",E36-B36)</f>
        <v/>
      </c>
      <c r="G36">
        <f>IF(B36="","",IF(E36&lt;&gt;"","Paid",IF(TODAY()-B36&gt;'My business'!$B$16,"OVERDUE","Awaiting")))</f>
        <v/>
      </c>
    </row>
    <row r="37">
      <c r="A37" s="2" t="n"/>
      <c r="B37" s="5" t="n"/>
      <c r="C37" s="2" t="n"/>
      <c r="D37" s="15" t="n"/>
      <c r="E37" s="5" t="n"/>
      <c r="F37">
        <f>IF(OR(B37="",E37=""),"",E37-B37)</f>
        <v/>
      </c>
      <c r="G37">
        <f>IF(B37="","",IF(E37&lt;&gt;"","Paid",IF(TODAY()-B37&gt;'My business'!$B$16,"OVERDUE","Awaiting")))</f>
        <v/>
      </c>
    </row>
    <row r="38">
      <c r="A38" s="2" t="n"/>
      <c r="B38" s="5" t="n"/>
      <c r="C38" s="2" t="n"/>
      <c r="D38" s="15" t="n"/>
      <c r="E38" s="5" t="n"/>
      <c r="F38">
        <f>IF(OR(B38="",E38=""),"",E38-B38)</f>
        <v/>
      </c>
      <c r="G38">
        <f>IF(B38="","",IF(E38&lt;&gt;"","Paid",IF(TODAY()-B38&gt;'My business'!$B$16,"OVERDUE","Awaiting")))</f>
        <v/>
      </c>
    </row>
    <row r="39">
      <c r="A39" s="2" t="n"/>
      <c r="B39" s="5" t="n"/>
      <c r="C39" s="2" t="n"/>
      <c r="D39" s="15" t="n"/>
      <c r="E39" s="5" t="n"/>
      <c r="F39">
        <f>IF(OR(B39="",E39=""),"",E39-B39)</f>
        <v/>
      </c>
      <c r="G39">
        <f>IF(B39="","",IF(E39&lt;&gt;"","Paid",IF(TODAY()-B39&gt;'My business'!$B$16,"OVERDUE","Awaiting")))</f>
        <v/>
      </c>
    </row>
    <row r="40">
      <c r="A40" s="2" t="n"/>
      <c r="B40" s="5" t="n"/>
      <c r="C40" s="2" t="n"/>
      <c r="D40" s="15" t="n"/>
      <c r="E40" s="5" t="n"/>
      <c r="F40">
        <f>IF(OR(B40="",E40=""),"",E40-B40)</f>
        <v/>
      </c>
      <c r="G40">
        <f>IF(B40="","",IF(E40&lt;&gt;"","Paid",IF(TODAY()-B40&gt;'My business'!$B$16,"OVERDUE","Awaiting")))</f>
        <v/>
      </c>
    </row>
    <row r="41">
      <c r="A41" s="2" t="n"/>
      <c r="B41" s="5" t="n"/>
      <c r="C41" s="2" t="n"/>
      <c r="D41" s="15" t="n"/>
      <c r="E41" s="5" t="n"/>
      <c r="F41">
        <f>IF(OR(B41="",E41=""),"",E41-B41)</f>
        <v/>
      </c>
      <c r="G41">
        <f>IF(B41="","",IF(E41&lt;&gt;"","Paid",IF(TODAY()-B41&gt;'My business'!$B$16,"OVERDUE","Awaiting")))</f>
        <v/>
      </c>
    </row>
    <row r="42">
      <c r="A42" s="2" t="n"/>
      <c r="B42" s="5" t="n"/>
      <c r="C42" s="2" t="n"/>
      <c r="D42" s="15" t="n"/>
      <c r="E42" s="5" t="n"/>
      <c r="F42">
        <f>IF(OR(B42="",E42=""),"",E42-B42)</f>
        <v/>
      </c>
      <c r="G42">
        <f>IF(B42="","",IF(E42&lt;&gt;"","Paid",IF(TODAY()-B42&gt;'My business'!$B$16,"OVERDUE","Awaiting")))</f>
        <v/>
      </c>
    </row>
    <row r="43">
      <c r="A43" s="2" t="n"/>
      <c r="B43" s="5" t="n"/>
      <c r="C43" s="2" t="n"/>
      <c r="D43" s="15" t="n"/>
      <c r="E43" s="5" t="n"/>
      <c r="F43">
        <f>IF(OR(B43="",E43=""),"",E43-B43)</f>
        <v/>
      </c>
      <c r="G43">
        <f>IF(B43="","",IF(E43&lt;&gt;"","Paid",IF(TODAY()-B43&gt;'My business'!$B$16,"OVERDUE","Awaiting")))</f>
        <v/>
      </c>
    </row>
    <row r="44">
      <c r="A44" s="2" t="n"/>
      <c r="B44" s="5" t="n"/>
      <c r="C44" s="2" t="n"/>
      <c r="D44" s="15" t="n"/>
      <c r="E44" s="5" t="n"/>
      <c r="F44">
        <f>IF(OR(B44="",E44=""),"",E44-B44)</f>
        <v/>
      </c>
      <c r="G44">
        <f>IF(B44="","",IF(E44&lt;&gt;"","Paid",IF(TODAY()-B44&gt;'My business'!$B$16,"OVERDUE","Awaiting")))</f>
        <v/>
      </c>
    </row>
    <row r="45">
      <c r="A45" s="2" t="n"/>
      <c r="B45" s="5" t="n"/>
      <c r="C45" s="2" t="n"/>
      <c r="D45" s="15" t="n"/>
      <c r="E45" s="5" t="n"/>
      <c r="F45">
        <f>IF(OR(B45="",E45=""),"",E45-B45)</f>
        <v/>
      </c>
      <c r="G45">
        <f>IF(B45="","",IF(E45&lt;&gt;"","Paid",IF(TODAY()-B45&gt;'My business'!$B$16,"OVERDUE","Awaiting")))</f>
        <v/>
      </c>
    </row>
    <row r="46">
      <c r="A46" s="2" t="n"/>
      <c r="B46" s="5" t="n"/>
      <c r="C46" s="2" t="n"/>
      <c r="D46" s="15" t="n"/>
      <c r="E46" s="5" t="n"/>
      <c r="F46">
        <f>IF(OR(B46="",E46=""),"",E46-B46)</f>
        <v/>
      </c>
      <c r="G46">
        <f>IF(B46="","",IF(E46&lt;&gt;"","Paid",IF(TODAY()-B46&gt;'My business'!$B$16,"OVERDUE","Awaiting")))</f>
        <v/>
      </c>
    </row>
    <row r="47">
      <c r="A47" s="2" t="n"/>
      <c r="B47" s="5" t="n"/>
      <c r="C47" s="2" t="n"/>
      <c r="D47" s="15" t="n"/>
      <c r="E47" s="5" t="n"/>
      <c r="F47">
        <f>IF(OR(B47="",E47=""),"",E47-B47)</f>
        <v/>
      </c>
      <c r="G47">
        <f>IF(B47="","",IF(E47&lt;&gt;"","Paid",IF(TODAY()-B47&gt;'My business'!$B$16,"OVERDUE","Awaiting")))</f>
        <v/>
      </c>
    </row>
    <row r="48">
      <c r="A48" s="2" t="n"/>
      <c r="B48" s="5" t="n"/>
      <c r="C48" s="2" t="n"/>
      <c r="D48" s="15" t="n"/>
      <c r="E48" s="5" t="n"/>
      <c r="F48">
        <f>IF(OR(B48="",E48=""),"",E48-B48)</f>
        <v/>
      </c>
      <c r="G48">
        <f>IF(B48="","",IF(E48&lt;&gt;"","Paid",IF(TODAY()-B48&gt;'My business'!$B$16,"OVERDUE","Awaiting")))</f>
        <v/>
      </c>
    </row>
    <row r="49">
      <c r="A49" s="2" t="n"/>
      <c r="B49" s="5" t="n"/>
      <c r="C49" s="2" t="n"/>
      <c r="D49" s="15" t="n"/>
      <c r="E49" s="5" t="n"/>
      <c r="F49">
        <f>IF(OR(B49="",E49=""),"",E49-B49)</f>
        <v/>
      </c>
      <c r="G49">
        <f>IF(B49="","",IF(E49&lt;&gt;"","Paid",IF(TODAY()-B49&gt;'My business'!$B$16,"OVERDUE","Awaiting")))</f>
        <v/>
      </c>
    </row>
    <row r="50">
      <c r="A50" s="2" t="n"/>
      <c r="B50" s="5" t="n"/>
      <c r="C50" s="2" t="n"/>
      <c r="D50" s="15" t="n"/>
      <c r="E50" s="5" t="n"/>
      <c r="F50">
        <f>IF(OR(B50="",E50=""),"",E50-B50)</f>
        <v/>
      </c>
      <c r="G50">
        <f>IF(B50="","",IF(E50&lt;&gt;"","Paid",IF(TODAY()-B50&gt;'My business'!$B$16,"OVERDUE","Awaiting")))</f>
        <v/>
      </c>
    </row>
    <row r="51">
      <c r="A51" s="2" t="n"/>
      <c r="B51" s="5" t="n"/>
      <c r="C51" s="2" t="n"/>
      <c r="D51" s="15" t="n"/>
      <c r="E51" s="5" t="n"/>
      <c r="F51">
        <f>IF(OR(B51="",E51=""),"",E51-B51)</f>
        <v/>
      </c>
      <c r="G51">
        <f>IF(B51="","",IF(E51&lt;&gt;"","Paid",IF(TODAY()-B51&gt;'My business'!$B$16,"OVERDUE","Awaiting")))</f>
        <v/>
      </c>
    </row>
    <row r="52">
      <c r="A52" s="2" t="n"/>
      <c r="B52" s="5" t="n"/>
      <c r="C52" s="2" t="n"/>
      <c r="D52" s="15" t="n"/>
      <c r="E52" s="5" t="n"/>
      <c r="F52">
        <f>IF(OR(B52="",E52=""),"",E52-B52)</f>
        <v/>
      </c>
      <c r="G52">
        <f>IF(B52="","",IF(E52&lt;&gt;"","Paid",IF(TODAY()-B52&gt;'My business'!$B$16,"OVERDUE","Awaiting")))</f>
        <v/>
      </c>
    </row>
    <row r="53">
      <c r="A53" s="2" t="n"/>
      <c r="B53" s="5" t="n"/>
      <c r="C53" s="2" t="n"/>
      <c r="D53" s="15" t="n"/>
      <c r="E53" s="5" t="n"/>
      <c r="F53">
        <f>IF(OR(B53="",E53=""),"",E53-B53)</f>
        <v/>
      </c>
      <c r="G53">
        <f>IF(B53="","",IF(E53&lt;&gt;"","Paid",IF(TODAY()-B53&gt;'My business'!$B$16,"OVERDUE","Awaiting")))</f>
        <v/>
      </c>
    </row>
    <row r="54">
      <c r="A54" s="2" t="n"/>
      <c r="B54" s="5" t="n"/>
      <c r="C54" s="2" t="n"/>
      <c r="D54" s="15" t="n"/>
      <c r="E54" s="5" t="n"/>
      <c r="F54">
        <f>IF(OR(B54="",E54=""),"",E54-B54)</f>
        <v/>
      </c>
      <c r="G54">
        <f>IF(B54="","",IF(E54&lt;&gt;"","Paid",IF(TODAY()-B54&gt;'My business'!$B$16,"OVERDUE","Awaiting")))</f>
        <v/>
      </c>
    </row>
    <row r="55">
      <c r="A55" s="2" t="n"/>
      <c r="B55" s="5" t="n"/>
      <c r="C55" s="2" t="n"/>
      <c r="D55" s="15" t="n"/>
      <c r="E55" s="5" t="n"/>
      <c r="F55">
        <f>IF(OR(B55="",E55=""),"",E55-B55)</f>
        <v/>
      </c>
      <c r="G55">
        <f>IF(B55="","",IF(E55&lt;&gt;"","Paid",IF(TODAY()-B55&gt;'My business'!$B$16,"OVERDUE","Awaiting")))</f>
        <v/>
      </c>
    </row>
    <row r="56">
      <c r="A56" s="2" t="n"/>
      <c r="B56" s="5" t="n"/>
      <c r="C56" s="2" t="n"/>
      <c r="D56" s="15" t="n"/>
      <c r="E56" s="5" t="n"/>
      <c r="F56">
        <f>IF(OR(B56="",E56=""),"",E56-B56)</f>
        <v/>
      </c>
      <c r="G56">
        <f>IF(B56="","",IF(E56&lt;&gt;"","Paid",IF(TODAY()-B56&gt;'My business'!$B$16,"OVERDUE","Awaiting")))</f>
        <v/>
      </c>
    </row>
    <row r="57">
      <c r="A57" s="2" t="n"/>
      <c r="B57" s="5" t="n"/>
      <c r="C57" s="2" t="n"/>
      <c r="D57" s="15" t="n"/>
      <c r="E57" s="5" t="n"/>
      <c r="F57">
        <f>IF(OR(B57="",E57=""),"",E57-B57)</f>
        <v/>
      </c>
      <c r="G57">
        <f>IF(B57="","",IF(E57&lt;&gt;"","Paid",IF(TODAY()-B57&gt;'My business'!$B$16,"OVERDUE","Awaiting")))</f>
        <v/>
      </c>
    </row>
    <row r="58">
      <c r="A58" s="2" t="n"/>
      <c r="B58" s="5" t="n"/>
      <c r="C58" s="2" t="n"/>
      <c r="D58" s="15" t="n"/>
      <c r="E58" s="5" t="n"/>
      <c r="F58">
        <f>IF(OR(B58="",E58=""),"",E58-B58)</f>
        <v/>
      </c>
      <c r="G58">
        <f>IF(B58="","",IF(E58&lt;&gt;"","Paid",IF(TODAY()-B58&gt;'My business'!$B$16,"OVERDUE","Awaiting")))</f>
        <v/>
      </c>
    </row>
    <row r="59">
      <c r="A59" s="2" t="n"/>
      <c r="B59" s="5" t="n"/>
      <c r="C59" s="2" t="n"/>
      <c r="D59" s="15" t="n"/>
      <c r="E59" s="5" t="n"/>
      <c r="F59">
        <f>IF(OR(B59="",E59=""),"",E59-B59)</f>
        <v/>
      </c>
      <c r="G59">
        <f>IF(B59="","",IF(E59&lt;&gt;"","Paid",IF(TODAY()-B59&gt;'My business'!$B$16,"OVERDUE","Awaiting")))</f>
        <v/>
      </c>
    </row>
    <row r="60">
      <c r="A60" s="2" t="n"/>
      <c r="B60" s="5" t="n"/>
      <c r="C60" s="2" t="n"/>
      <c r="D60" s="15" t="n"/>
      <c r="E60" s="5" t="n"/>
      <c r="F60">
        <f>IF(OR(B60="",E60=""),"",E60-B60)</f>
        <v/>
      </c>
      <c r="G60">
        <f>IF(B60="","",IF(E60&lt;&gt;"","Paid",IF(TODAY()-B60&gt;'My business'!$B$16,"OVERDUE","Awaiting")))</f>
        <v/>
      </c>
    </row>
    <row r="61">
      <c r="A61" s="2" t="n"/>
      <c r="B61" s="5" t="n"/>
      <c r="C61" s="2" t="n"/>
      <c r="D61" s="15" t="n"/>
      <c r="E61" s="5" t="n"/>
      <c r="F61">
        <f>IF(OR(B61="",E61=""),"",E61-B61)</f>
        <v/>
      </c>
      <c r="G61">
        <f>IF(B61="","",IF(E61&lt;&gt;"","Paid",IF(TODAY()-B61&gt;'My business'!$B$16,"OVERDUE","Awaiting")))</f>
        <v/>
      </c>
    </row>
    <row r="62">
      <c r="A62" s="2" t="n"/>
      <c r="B62" s="5" t="n"/>
      <c r="C62" s="2" t="n"/>
      <c r="D62" s="15" t="n"/>
      <c r="E62" s="5" t="n"/>
      <c r="F62">
        <f>IF(OR(B62="",E62=""),"",E62-B62)</f>
        <v/>
      </c>
      <c r="G62">
        <f>IF(B62="","",IF(E62&lt;&gt;"","Paid",IF(TODAY()-B62&gt;'My business'!$B$16,"OVERDUE","Awaiting")))</f>
        <v/>
      </c>
    </row>
    <row r="63">
      <c r="A63" s="2" t="n"/>
      <c r="B63" s="5" t="n"/>
      <c r="C63" s="2" t="n"/>
      <c r="D63" s="15" t="n"/>
      <c r="E63" s="5" t="n"/>
      <c r="F63">
        <f>IF(OR(B63="",E63=""),"",E63-B63)</f>
        <v/>
      </c>
      <c r="G63">
        <f>IF(B63="","",IF(E63&lt;&gt;"","Paid",IF(TODAY()-B63&gt;'My business'!$B$16,"OVERDUE","Awaiting")))</f>
        <v/>
      </c>
    </row>
    <row r="64">
      <c r="A64" s="2" t="n"/>
      <c r="B64" s="5" t="n"/>
      <c r="C64" s="2" t="n"/>
      <c r="D64" s="15" t="n"/>
      <c r="E64" s="5" t="n"/>
      <c r="F64">
        <f>IF(OR(B64="",E64=""),"",E64-B64)</f>
        <v/>
      </c>
      <c r="G64">
        <f>IF(B64="","",IF(E64&lt;&gt;"","Paid",IF(TODAY()-B64&gt;'My business'!$B$16,"OVERDUE","Awaiting")))</f>
        <v/>
      </c>
    </row>
    <row r="65">
      <c r="A65" s="2" t="n"/>
      <c r="B65" s="5" t="n"/>
      <c r="C65" s="2" t="n"/>
      <c r="D65" s="15" t="n"/>
      <c r="E65" s="5" t="n"/>
      <c r="F65">
        <f>IF(OR(B65="",E65=""),"",E65-B65)</f>
        <v/>
      </c>
      <c r="G65">
        <f>IF(B65="","",IF(E65&lt;&gt;"","Paid",IF(TODAY()-B65&gt;'My business'!$B$16,"OVERDUE","Awaiting")))</f>
        <v/>
      </c>
    </row>
    <row r="66">
      <c r="A66" s="2" t="n"/>
      <c r="B66" s="5" t="n"/>
      <c r="C66" s="2" t="n"/>
      <c r="D66" s="15" t="n"/>
      <c r="E66" s="5" t="n"/>
      <c r="F66">
        <f>IF(OR(B66="",E66=""),"",E66-B66)</f>
        <v/>
      </c>
      <c r="G66">
        <f>IF(B66="","",IF(E66&lt;&gt;"","Paid",IF(TODAY()-B66&gt;'My business'!$B$16,"OVERDUE","Awaiting")))</f>
        <v/>
      </c>
    </row>
    <row r="67">
      <c r="A67" s="2" t="n"/>
      <c r="B67" s="5" t="n"/>
      <c r="C67" s="2" t="n"/>
      <c r="D67" s="15" t="n"/>
      <c r="E67" s="5" t="n"/>
      <c r="F67">
        <f>IF(OR(B67="",E67=""),"",E67-B67)</f>
        <v/>
      </c>
      <c r="G67">
        <f>IF(B67="","",IF(E67&lt;&gt;"","Paid",IF(TODAY()-B67&gt;'My business'!$B$16,"OVERDUE","Awaiting")))</f>
        <v/>
      </c>
    </row>
    <row r="68">
      <c r="A68" s="2" t="n"/>
      <c r="B68" s="5" t="n"/>
      <c r="C68" s="2" t="n"/>
      <c r="D68" s="15" t="n"/>
      <c r="E68" s="5" t="n"/>
      <c r="F68">
        <f>IF(OR(B68="",E68=""),"",E68-B68)</f>
        <v/>
      </c>
      <c r="G68">
        <f>IF(B68="","",IF(E68&lt;&gt;"","Paid",IF(TODAY()-B68&gt;'My business'!$B$16,"OVERDUE","Awaiting")))</f>
        <v/>
      </c>
    </row>
    <row r="69">
      <c r="A69" s="2" t="n"/>
      <c r="B69" s="5" t="n"/>
      <c r="C69" s="2" t="n"/>
      <c r="D69" s="15" t="n"/>
      <c r="E69" s="5" t="n"/>
      <c r="F69">
        <f>IF(OR(B69="",E69=""),"",E69-B69)</f>
        <v/>
      </c>
      <c r="G69">
        <f>IF(B69="","",IF(E69&lt;&gt;"","Paid",IF(TODAY()-B69&gt;'My business'!$B$16,"OVERDUE","Awaiting")))</f>
        <v/>
      </c>
    </row>
    <row r="70">
      <c r="A70" s="2" t="n"/>
      <c r="B70" s="5" t="n"/>
      <c r="C70" s="2" t="n"/>
      <c r="D70" s="15" t="n"/>
      <c r="E70" s="5" t="n"/>
      <c r="F70">
        <f>IF(OR(B70="",E70=""),"",E70-B70)</f>
        <v/>
      </c>
      <c r="G70">
        <f>IF(B70="","",IF(E70&lt;&gt;"","Paid",IF(TODAY()-B70&gt;'My business'!$B$16,"OVERDUE","Awaiting")))</f>
        <v/>
      </c>
    </row>
    <row r="71">
      <c r="A71" s="2" t="n"/>
      <c r="B71" s="5" t="n"/>
      <c r="C71" s="2" t="n"/>
      <c r="D71" s="15" t="n"/>
      <c r="E71" s="5" t="n"/>
      <c r="F71">
        <f>IF(OR(B71="",E71=""),"",E71-B71)</f>
        <v/>
      </c>
      <c r="G71">
        <f>IF(B71="","",IF(E71&lt;&gt;"","Paid",IF(TODAY()-B71&gt;'My business'!$B$16,"OVERDUE","Awaiting")))</f>
        <v/>
      </c>
    </row>
    <row r="72">
      <c r="A72" s="2" t="n"/>
      <c r="B72" s="5" t="n"/>
      <c r="C72" s="2" t="n"/>
      <c r="D72" s="15" t="n"/>
      <c r="E72" s="5" t="n"/>
      <c r="F72">
        <f>IF(OR(B72="",E72=""),"",E72-B72)</f>
        <v/>
      </c>
      <c r="G72">
        <f>IF(B72="","",IF(E72&lt;&gt;"","Paid",IF(TODAY()-B72&gt;'My business'!$B$16,"OVERDUE","Awaiting")))</f>
        <v/>
      </c>
    </row>
    <row r="73">
      <c r="A73" s="2" t="n"/>
      <c r="B73" s="5" t="n"/>
      <c r="C73" s="2" t="n"/>
      <c r="D73" s="15" t="n"/>
      <c r="E73" s="5" t="n"/>
      <c r="F73">
        <f>IF(OR(B73="",E73=""),"",E73-B73)</f>
        <v/>
      </c>
      <c r="G73">
        <f>IF(B73="","",IF(E73&lt;&gt;"","Paid",IF(TODAY()-B73&gt;'My business'!$B$16,"OVERDUE","Awaiting")))</f>
        <v/>
      </c>
    </row>
    <row r="74">
      <c r="A74" s="2" t="n"/>
      <c r="B74" s="5" t="n"/>
      <c r="C74" s="2" t="n"/>
      <c r="D74" s="15" t="n"/>
      <c r="E74" s="5" t="n"/>
      <c r="F74">
        <f>IF(OR(B74="",E74=""),"",E74-B74)</f>
        <v/>
      </c>
      <c r="G74">
        <f>IF(B74="","",IF(E74&lt;&gt;"","Paid",IF(TODAY()-B74&gt;'My business'!$B$16,"OVERDUE","Awaiting")))</f>
        <v/>
      </c>
    </row>
    <row r="75">
      <c r="A75" s="2" t="n"/>
      <c r="B75" s="5" t="n"/>
      <c r="C75" s="2" t="n"/>
      <c r="D75" s="15" t="n"/>
      <c r="E75" s="5" t="n"/>
      <c r="F75">
        <f>IF(OR(B75="",E75=""),"",E75-B75)</f>
        <v/>
      </c>
      <c r="G75">
        <f>IF(B75="","",IF(E75&lt;&gt;"","Paid",IF(TODAY()-B75&gt;'My business'!$B$16,"OVERDUE","Awaiting")))</f>
        <v/>
      </c>
    </row>
    <row r="76">
      <c r="A76" s="2" t="n"/>
      <c r="B76" s="5" t="n"/>
      <c r="C76" s="2" t="n"/>
      <c r="D76" s="15" t="n"/>
      <c r="E76" s="5" t="n"/>
      <c r="F76">
        <f>IF(OR(B76="",E76=""),"",E76-B76)</f>
        <v/>
      </c>
      <c r="G76">
        <f>IF(B76="","",IF(E76&lt;&gt;"","Paid",IF(TODAY()-B76&gt;'My business'!$B$16,"OVERDUE","Awaiting")))</f>
        <v/>
      </c>
    </row>
    <row r="77">
      <c r="A77" s="2" t="n"/>
      <c r="B77" s="5" t="n"/>
      <c r="C77" s="2" t="n"/>
      <c r="D77" s="15" t="n"/>
      <c r="E77" s="5" t="n"/>
      <c r="F77">
        <f>IF(OR(B77="",E77=""),"",E77-B77)</f>
        <v/>
      </c>
      <c r="G77">
        <f>IF(B77="","",IF(E77&lt;&gt;"","Paid",IF(TODAY()-B77&gt;'My business'!$B$16,"OVERDUE","Awaiting")))</f>
        <v/>
      </c>
    </row>
    <row r="78">
      <c r="A78" s="2" t="n"/>
      <c r="B78" s="5" t="n"/>
      <c r="C78" s="2" t="n"/>
      <c r="D78" s="15" t="n"/>
      <c r="E78" s="5" t="n"/>
      <c r="F78">
        <f>IF(OR(B78="",E78=""),"",E78-B78)</f>
        <v/>
      </c>
      <c r="G78">
        <f>IF(B78="","",IF(E78&lt;&gt;"","Paid",IF(TODAY()-B78&gt;'My business'!$B$16,"OVERDUE","Awaiting")))</f>
        <v/>
      </c>
    </row>
    <row r="79">
      <c r="A79" s="2" t="n"/>
      <c r="B79" s="5" t="n"/>
      <c r="C79" s="2" t="n"/>
      <c r="D79" s="15" t="n"/>
      <c r="E79" s="5" t="n"/>
      <c r="F79">
        <f>IF(OR(B79="",E79=""),"",E79-B79)</f>
        <v/>
      </c>
      <c r="G79">
        <f>IF(B79="","",IF(E79&lt;&gt;"","Paid",IF(TODAY()-B79&gt;'My business'!$B$16,"OVERDUE","Awaiting")))</f>
        <v/>
      </c>
    </row>
    <row r="80">
      <c r="A80" s="2" t="n"/>
      <c r="B80" s="5" t="n"/>
      <c r="C80" s="2" t="n"/>
      <c r="D80" s="15" t="n"/>
      <c r="E80" s="5" t="n"/>
      <c r="F80">
        <f>IF(OR(B80="",E80=""),"",E80-B80)</f>
        <v/>
      </c>
      <c r="G80">
        <f>IF(B80="","",IF(E80&lt;&gt;"","Paid",IF(TODAY()-B80&gt;'My business'!$B$16,"OVERDUE","Awaiting")))</f>
        <v/>
      </c>
    </row>
    <row r="81">
      <c r="A81" s="2" t="n"/>
      <c r="B81" s="5" t="n"/>
      <c r="C81" s="2" t="n"/>
      <c r="D81" s="15" t="n"/>
      <c r="E81" s="5" t="n"/>
      <c r="F81">
        <f>IF(OR(B81="",E81=""),"",E81-B81)</f>
        <v/>
      </c>
      <c r="G81">
        <f>IF(B81="","",IF(E81&lt;&gt;"","Paid",IF(TODAY()-B81&gt;'My business'!$B$16,"OVERDUE","Awaiting")))</f>
        <v/>
      </c>
    </row>
    <row r="82">
      <c r="A82" s="2" t="n"/>
      <c r="B82" s="5" t="n"/>
      <c r="C82" s="2" t="n"/>
      <c r="D82" s="15" t="n"/>
      <c r="E82" s="5" t="n"/>
      <c r="F82">
        <f>IF(OR(B82="",E82=""),"",E82-B82)</f>
        <v/>
      </c>
      <c r="G82">
        <f>IF(B82="","",IF(E82&lt;&gt;"","Paid",IF(TODAY()-B82&gt;'My business'!$B$16,"OVERDUE","Awaiting")))</f>
        <v/>
      </c>
    </row>
    <row r="83">
      <c r="A83" s="2" t="n"/>
      <c r="B83" s="5" t="n"/>
      <c r="C83" s="2" t="n"/>
      <c r="D83" s="15" t="n"/>
      <c r="E83" s="5" t="n"/>
      <c r="F83">
        <f>IF(OR(B83="",E83=""),"",E83-B83)</f>
        <v/>
      </c>
      <c r="G83">
        <f>IF(B83="","",IF(E83&lt;&gt;"","Paid",IF(TODAY()-B83&gt;'My business'!$B$16,"OVERDUE","Awaiting")))</f>
        <v/>
      </c>
    </row>
    <row r="84">
      <c r="A84" s="2" t="n"/>
      <c r="B84" s="5" t="n"/>
      <c r="C84" s="2" t="n"/>
      <c r="D84" s="15" t="n"/>
      <c r="E84" s="5" t="n"/>
      <c r="F84">
        <f>IF(OR(B84="",E84=""),"",E84-B84)</f>
        <v/>
      </c>
      <c r="G84">
        <f>IF(B84="","",IF(E84&lt;&gt;"","Paid",IF(TODAY()-B84&gt;'My business'!$B$16,"OVERDUE","Awaiting")))</f>
        <v/>
      </c>
    </row>
    <row r="85">
      <c r="A85" s="2" t="n"/>
      <c r="B85" s="5" t="n"/>
      <c r="C85" s="2" t="n"/>
      <c r="D85" s="15" t="n"/>
      <c r="E85" s="5" t="n"/>
      <c r="F85">
        <f>IF(OR(B85="",E85=""),"",E85-B85)</f>
        <v/>
      </c>
      <c r="G85">
        <f>IF(B85="","",IF(E85&lt;&gt;"","Paid",IF(TODAY()-B85&gt;'My business'!$B$16,"OVERDUE","Awaiting")))</f>
        <v/>
      </c>
    </row>
    <row r="86">
      <c r="A86" s="2" t="n"/>
      <c r="B86" s="5" t="n"/>
      <c r="C86" s="2" t="n"/>
      <c r="D86" s="15" t="n"/>
      <c r="E86" s="5" t="n"/>
      <c r="F86">
        <f>IF(OR(B86="",E86=""),"",E86-B86)</f>
        <v/>
      </c>
      <c r="G86">
        <f>IF(B86="","",IF(E86&lt;&gt;"","Paid",IF(TODAY()-B86&gt;'My business'!$B$16,"OVERDUE","Awaiting")))</f>
        <v/>
      </c>
    </row>
    <row r="87">
      <c r="A87" s="2" t="n"/>
      <c r="B87" s="5" t="n"/>
      <c r="C87" s="2" t="n"/>
      <c r="D87" s="15" t="n"/>
      <c r="E87" s="5" t="n"/>
      <c r="F87">
        <f>IF(OR(B87="",E87=""),"",E87-B87)</f>
        <v/>
      </c>
      <c r="G87">
        <f>IF(B87="","",IF(E87&lt;&gt;"","Paid",IF(TODAY()-B87&gt;'My business'!$B$16,"OVERDUE","Awaiting")))</f>
        <v/>
      </c>
    </row>
    <row r="88">
      <c r="A88" s="2" t="n"/>
      <c r="B88" s="5" t="n"/>
      <c r="C88" s="2" t="n"/>
      <c r="D88" s="15" t="n"/>
      <c r="E88" s="5" t="n"/>
      <c r="F88">
        <f>IF(OR(B88="",E88=""),"",E88-B88)</f>
        <v/>
      </c>
      <c r="G88">
        <f>IF(B88="","",IF(E88&lt;&gt;"","Paid",IF(TODAY()-B88&gt;'My business'!$B$16,"OVERDUE","Awaiting")))</f>
        <v/>
      </c>
    </row>
    <row r="89">
      <c r="A89" s="2" t="n"/>
      <c r="B89" s="5" t="n"/>
      <c r="C89" s="2" t="n"/>
      <c r="D89" s="15" t="n"/>
      <c r="E89" s="5" t="n"/>
      <c r="F89">
        <f>IF(OR(B89="",E89=""),"",E89-B89)</f>
        <v/>
      </c>
      <c r="G89">
        <f>IF(B89="","",IF(E89&lt;&gt;"","Paid",IF(TODAY()-B89&gt;'My business'!$B$16,"OVERDUE","Awaiting")))</f>
        <v/>
      </c>
    </row>
    <row r="90">
      <c r="A90" s="2" t="n"/>
      <c r="B90" s="5" t="n"/>
      <c r="C90" s="2" t="n"/>
      <c r="D90" s="15" t="n"/>
      <c r="E90" s="5" t="n"/>
      <c r="F90">
        <f>IF(OR(B90="",E90=""),"",E90-B90)</f>
        <v/>
      </c>
      <c r="G90">
        <f>IF(B90="","",IF(E90&lt;&gt;"","Paid",IF(TODAY()-B90&gt;'My business'!$B$16,"OVERDUE","Awaiting")))</f>
        <v/>
      </c>
    </row>
    <row r="91">
      <c r="A91" s="2" t="n"/>
      <c r="B91" s="5" t="n"/>
      <c r="C91" s="2" t="n"/>
      <c r="D91" s="15" t="n"/>
      <c r="E91" s="5" t="n"/>
      <c r="F91">
        <f>IF(OR(B91="",E91=""),"",E91-B91)</f>
        <v/>
      </c>
      <c r="G91">
        <f>IF(B91="","",IF(E91&lt;&gt;"","Paid",IF(TODAY()-B91&gt;'My business'!$B$16,"OVERDUE","Awaiting")))</f>
        <v/>
      </c>
    </row>
    <row r="92">
      <c r="A92" s="2" t="n"/>
      <c r="B92" s="5" t="n"/>
      <c r="C92" s="2" t="n"/>
      <c r="D92" s="15" t="n"/>
      <c r="E92" s="5" t="n"/>
      <c r="F92">
        <f>IF(OR(B92="",E92=""),"",E92-B92)</f>
        <v/>
      </c>
      <c r="G92">
        <f>IF(B92="","",IF(E92&lt;&gt;"","Paid",IF(TODAY()-B92&gt;'My business'!$B$16,"OVERDUE","Awaiting")))</f>
        <v/>
      </c>
    </row>
    <row r="93">
      <c r="A93" s="2" t="n"/>
      <c r="B93" s="5" t="n"/>
      <c r="C93" s="2" t="n"/>
      <c r="D93" s="15" t="n"/>
      <c r="E93" s="5" t="n"/>
      <c r="F93">
        <f>IF(OR(B93="",E93=""),"",E93-B93)</f>
        <v/>
      </c>
      <c r="G93">
        <f>IF(B93="","",IF(E93&lt;&gt;"","Paid",IF(TODAY()-B93&gt;'My business'!$B$16,"OVERDUE","Awaiting")))</f>
        <v/>
      </c>
    </row>
    <row r="94">
      <c r="A94" s="2" t="n"/>
      <c r="B94" s="5" t="n"/>
      <c r="C94" s="2" t="n"/>
      <c r="D94" s="15" t="n"/>
      <c r="E94" s="5" t="n"/>
      <c r="F94">
        <f>IF(OR(B94="",E94=""),"",E94-B94)</f>
        <v/>
      </c>
      <c r="G94">
        <f>IF(B94="","",IF(E94&lt;&gt;"","Paid",IF(TODAY()-B94&gt;'My business'!$B$16,"OVERDUE","Awaiting")))</f>
        <v/>
      </c>
    </row>
    <row r="95">
      <c r="A95" s="2" t="n"/>
      <c r="B95" s="5" t="n"/>
      <c r="C95" s="2" t="n"/>
      <c r="D95" s="15" t="n"/>
      <c r="E95" s="5" t="n"/>
      <c r="F95">
        <f>IF(OR(B95="",E95=""),"",E95-B95)</f>
        <v/>
      </c>
      <c r="G95">
        <f>IF(B95="","",IF(E95&lt;&gt;"","Paid",IF(TODAY()-B95&gt;'My business'!$B$16,"OVERDUE","Awaiting")))</f>
        <v/>
      </c>
    </row>
    <row r="96">
      <c r="A96" s="2" t="n"/>
      <c r="B96" s="5" t="n"/>
      <c r="C96" s="2" t="n"/>
      <c r="D96" s="15" t="n"/>
      <c r="E96" s="5" t="n"/>
      <c r="F96">
        <f>IF(OR(B96="",E96=""),"",E96-B96)</f>
        <v/>
      </c>
      <c r="G96">
        <f>IF(B96="","",IF(E96&lt;&gt;"","Paid",IF(TODAY()-B96&gt;'My business'!$B$16,"OVERDUE","Awaiting")))</f>
        <v/>
      </c>
    </row>
    <row r="97">
      <c r="A97" s="2" t="n"/>
      <c r="B97" s="5" t="n"/>
      <c r="C97" s="2" t="n"/>
      <c r="D97" s="15" t="n"/>
      <c r="E97" s="5" t="n"/>
      <c r="F97">
        <f>IF(OR(B97="",E97=""),"",E97-B97)</f>
        <v/>
      </c>
      <c r="G97">
        <f>IF(B97="","",IF(E97&lt;&gt;"","Paid",IF(TODAY()-B97&gt;'My business'!$B$16,"OVERDUE","Awaiting")))</f>
        <v/>
      </c>
    </row>
    <row r="98">
      <c r="A98" s="2" t="n"/>
      <c r="B98" s="5" t="n"/>
      <c r="C98" s="2" t="n"/>
      <c r="D98" s="15" t="n"/>
      <c r="E98" s="5" t="n"/>
      <c r="F98">
        <f>IF(OR(B98="",E98=""),"",E98-B98)</f>
        <v/>
      </c>
      <c r="G98">
        <f>IF(B98="","",IF(E98&lt;&gt;"","Paid",IF(TODAY()-B98&gt;'My business'!$B$16,"OVERDUE","Awaiting")))</f>
        <v/>
      </c>
    </row>
    <row r="99">
      <c r="A99" s="2" t="n"/>
      <c r="B99" s="5" t="n"/>
      <c r="C99" s="2" t="n"/>
      <c r="D99" s="15" t="n"/>
      <c r="E99" s="5" t="n"/>
      <c r="F99">
        <f>IF(OR(B99="",E99=""),"",E99-B99)</f>
        <v/>
      </c>
      <c r="G99">
        <f>IF(B99="","",IF(E99&lt;&gt;"","Paid",IF(TODAY()-B99&gt;'My business'!$B$16,"OVERDUE","Awaiting")))</f>
        <v/>
      </c>
    </row>
    <row r="100">
      <c r="A100" s="2" t="n"/>
      <c r="B100" s="5" t="n"/>
      <c r="C100" s="2" t="n"/>
      <c r="D100" s="15" t="n"/>
      <c r="E100" s="5" t="n"/>
      <c r="F100">
        <f>IF(OR(B100="",E100=""),"",E100-B100)</f>
        <v/>
      </c>
      <c r="G100">
        <f>IF(B100="","",IF(E100&lt;&gt;"","Paid",IF(TODAY()-B100&gt;'My business'!$B$16,"OVERDUE","Awaiting")))</f>
        <v/>
      </c>
    </row>
    <row r="101">
      <c r="A101" s="2" t="n"/>
      <c r="B101" s="5" t="n"/>
      <c r="C101" s="2" t="n"/>
      <c r="D101" s="15" t="n"/>
      <c r="E101" s="5" t="n"/>
      <c r="F101">
        <f>IF(OR(B101="",E101=""),"",E101-B101)</f>
        <v/>
      </c>
      <c r="G101">
        <f>IF(B101="","",IF(E101&lt;&gt;"","Paid",IF(TODAY()-B101&gt;'My business'!$B$16,"OVERDUE","Awaiting")))</f>
        <v/>
      </c>
    </row>
    <row r="102">
      <c r="A102" s="2" t="n"/>
      <c r="B102" s="5" t="n"/>
      <c r="C102" s="2" t="n"/>
      <c r="D102" s="15" t="n"/>
      <c r="E102" s="5" t="n"/>
      <c r="F102">
        <f>IF(OR(B102="",E102=""),"",E102-B102)</f>
        <v/>
      </c>
      <c r="G102">
        <f>IF(B102="","",IF(E102&lt;&gt;"","Paid",IF(TODAY()-B102&gt;'My business'!$B$16,"OVERDUE","Awaiting")))</f>
        <v/>
      </c>
    </row>
    <row r="103">
      <c r="A103" s="2" t="n"/>
      <c r="B103" s="5" t="n"/>
      <c r="C103" s="2" t="n"/>
      <c r="D103" s="15" t="n"/>
      <c r="E103" s="5" t="n"/>
      <c r="F103">
        <f>IF(OR(B103="",E103=""),"",E103-B103)</f>
        <v/>
      </c>
      <c r="G103">
        <f>IF(B103="","",IF(E103&lt;&gt;"","Paid",IF(TODAY()-B103&gt;'My business'!$B$16,"OVERDUE","Awaiting")))</f>
        <v/>
      </c>
    </row>
    <row r="104">
      <c r="A104" s="2" t="n"/>
      <c r="B104" s="5" t="n"/>
      <c r="C104" s="2" t="n"/>
      <c r="D104" s="15" t="n"/>
      <c r="E104" s="5" t="n"/>
      <c r="F104">
        <f>IF(OR(B104="",E104=""),"",E104-B104)</f>
        <v/>
      </c>
      <c r="G104">
        <f>IF(B104="","",IF(E104&lt;&gt;"","Paid",IF(TODAY()-B104&gt;'My business'!$B$16,"OVERDUE","Awaiting")))</f>
        <v/>
      </c>
    </row>
    <row r="105">
      <c r="A105" s="2" t="n"/>
      <c r="B105" s="5" t="n"/>
      <c r="C105" s="2" t="n"/>
      <c r="D105" s="15" t="n"/>
      <c r="E105" s="5" t="n"/>
      <c r="F105">
        <f>IF(OR(B105="",E105=""),"",E105-B105)</f>
        <v/>
      </c>
      <c r="G105">
        <f>IF(B105="","",IF(E105&lt;&gt;"","Paid",IF(TODAY()-B105&gt;'My business'!$B$16,"OVERDUE","Awaiting")))</f>
        <v/>
      </c>
    </row>
    <row r="106">
      <c r="A106" s="2" t="n"/>
      <c r="B106" s="5" t="n"/>
      <c r="C106" s="2" t="n"/>
      <c r="D106" s="15" t="n"/>
      <c r="E106" s="5" t="n"/>
      <c r="F106">
        <f>IF(OR(B106="",E106=""),"",E106-B106)</f>
        <v/>
      </c>
      <c r="G106">
        <f>IF(B106="","",IF(E106&lt;&gt;"","Paid",IF(TODAY()-B106&gt;'My business'!$B$16,"OVERDUE","Awaiting")))</f>
        <v/>
      </c>
    </row>
    <row r="107">
      <c r="A107" s="2" t="n"/>
      <c r="B107" s="5" t="n"/>
      <c r="C107" s="2" t="n"/>
      <c r="D107" s="15" t="n"/>
      <c r="E107" s="5" t="n"/>
      <c r="F107">
        <f>IF(OR(B107="",E107=""),"",E107-B107)</f>
        <v/>
      </c>
      <c r="G107">
        <f>IF(B107="","",IF(E107&lt;&gt;"","Paid",IF(TODAY()-B107&gt;'My business'!$B$16,"OVERDUE","Awaiting")))</f>
        <v/>
      </c>
    </row>
    <row r="108">
      <c r="A108" s="2" t="n"/>
      <c r="B108" s="5" t="n"/>
      <c r="C108" s="2" t="n"/>
      <c r="D108" s="15" t="n"/>
      <c r="E108" s="5" t="n"/>
      <c r="F108">
        <f>IF(OR(B108="",E108=""),"",E108-B108)</f>
        <v/>
      </c>
      <c r="G108">
        <f>IF(B108="","",IF(E108&lt;&gt;"","Paid",IF(TODAY()-B108&gt;'My business'!$B$16,"OVERDUE","Awaiting")))</f>
        <v/>
      </c>
    </row>
    <row r="109">
      <c r="A109" s="2" t="n"/>
      <c r="B109" s="5" t="n"/>
      <c r="C109" s="2" t="n"/>
      <c r="D109" s="15" t="n"/>
      <c r="E109" s="5" t="n"/>
      <c r="F109">
        <f>IF(OR(B109="",E109=""),"",E109-B109)</f>
        <v/>
      </c>
      <c r="G109">
        <f>IF(B109="","",IF(E109&lt;&gt;"","Paid",IF(TODAY()-B109&gt;'My business'!$B$16,"OVERDUE","Awaiting")))</f>
        <v/>
      </c>
    </row>
    <row r="110">
      <c r="A110" s="2" t="n"/>
      <c r="B110" s="5" t="n"/>
      <c r="C110" s="2" t="n"/>
      <c r="D110" s="15" t="n"/>
      <c r="E110" s="5" t="n"/>
      <c r="F110">
        <f>IF(OR(B110="",E110=""),"",E110-B110)</f>
        <v/>
      </c>
      <c r="G110">
        <f>IF(B110="","",IF(E110&lt;&gt;"","Paid",IF(TODAY()-B110&gt;'My business'!$B$16,"OVERDUE","Awaiting")))</f>
        <v/>
      </c>
    </row>
    <row r="111">
      <c r="A111" s="2" t="n"/>
      <c r="B111" s="5" t="n"/>
      <c r="C111" s="2" t="n"/>
      <c r="D111" s="15" t="n"/>
      <c r="E111" s="5" t="n"/>
      <c r="F111">
        <f>IF(OR(B111="",E111=""),"",E111-B111)</f>
        <v/>
      </c>
      <c r="G111">
        <f>IF(B111="","",IF(E111&lt;&gt;"","Paid",IF(TODAY()-B111&gt;'My business'!$B$16,"OVERDUE","Awaiting")))</f>
        <v/>
      </c>
    </row>
    <row r="112">
      <c r="A112" s="2" t="n"/>
      <c r="B112" s="5" t="n"/>
      <c r="C112" s="2" t="n"/>
      <c r="D112" s="15" t="n"/>
      <c r="E112" s="5" t="n"/>
      <c r="F112">
        <f>IF(OR(B112="",E112=""),"",E112-B112)</f>
        <v/>
      </c>
      <c r="G112">
        <f>IF(B112="","",IF(E112&lt;&gt;"","Paid",IF(TODAY()-B112&gt;'My business'!$B$16,"OVERDUE","Awaiting")))</f>
        <v/>
      </c>
    </row>
    <row r="113">
      <c r="A113" s="2" t="n"/>
      <c r="B113" s="5" t="n"/>
      <c r="C113" s="2" t="n"/>
      <c r="D113" s="15" t="n"/>
      <c r="E113" s="5" t="n"/>
      <c r="F113">
        <f>IF(OR(B113="",E113=""),"",E113-B113)</f>
        <v/>
      </c>
      <c r="G113">
        <f>IF(B113="","",IF(E113&lt;&gt;"","Paid",IF(TODAY()-B113&gt;'My business'!$B$16,"OVERDUE","Awaiting")))</f>
        <v/>
      </c>
    </row>
    <row r="114">
      <c r="A114" s="2" t="n"/>
      <c r="B114" s="5" t="n"/>
      <c r="C114" s="2" t="n"/>
      <c r="D114" s="15" t="n"/>
      <c r="E114" s="5" t="n"/>
      <c r="F114">
        <f>IF(OR(B114="",E114=""),"",E114-B114)</f>
        <v/>
      </c>
      <c r="G114">
        <f>IF(B114="","",IF(E114&lt;&gt;"","Paid",IF(TODAY()-B114&gt;'My business'!$B$16,"OVERDUE","Awaiting")))</f>
        <v/>
      </c>
    </row>
    <row r="115">
      <c r="A115" s="2" t="n"/>
      <c r="B115" s="5" t="n"/>
      <c r="C115" s="2" t="n"/>
      <c r="D115" s="15" t="n"/>
      <c r="E115" s="5" t="n"/>
      <c r="F115">
        <f>IF(OR(B115="",E115=""),"",E115-B115)</f>
        <v/>
      </c>
      <c r="G115">
        <f>IF(B115="","",IF(E115&lt;&gt;"","Paid",IF(TODAY()-B115&gt;'My business'!$B$16,"OVERDUE","Awaiting")))</f>
        <v/>
      </c>
    </row>
    <row r="116">
      <c r="A116" s="2" t="n"/>
      <c r="B116" s="5" t="n"/>
      <c r="C116" s="2" t="n"/>
      <c r="D116" s="15" t="n"/>
      <c r="E116" s="5" t="n"/>
      <c r="F116">
        <f>IF(OR(B116="",E116=""),"",E116-B116)</f>
        <v/>
      </c>
      <c r="G116">
        <f>IF(B116="","",IF(E116&lt;&gt;"","Paid",IF(TODAY()-B116&gt;'My business'!$B$16,"OVERDUE","Awaiting")))</f>
        <v/>
      </c>
    </row>
    <row r="117">
      <c r="A117" s="2" t="n"/>
      <c r="B117" s="5" t="n"/>
      <c r="C117" s="2" t="n"/>
      <c r="D117" s="15" t="n"/>
      <c r="E117" s="5" t="n"/>
      <c r="F117">
        <f>IF(OR(B117="",E117=""),"",E117-B117)</f>
        <v/>
      </c>
      <c r="G117">
        <f>IF(B117="","",IF(E117&lt;&gt;"","Paid",IF(TODAY()-B117&gt;'My business'!$B$16,"OVERDUE","Awaiting")))</f>
        <v/>
      </c>
    </row>
    <row r="118">
      <c r="A118" s="2" t="n"/>
      <c r="B118" s="5" t="n"/>
      <c r="C118" s="2" t="n"/>
      <c r="D118" s="15" t="n"/>
      <c r="E118" s="5" t="n"/>
      <c r="F118">
        <f>IF(OR(B118="",E118=""),"",E118-B118)</f>
        <v/>
      </c>
      <c r="G118">
        <f>IF(B118="","",IF(E118&lt;&gt;"","Paid",IF(TODAY()-B118&gt;'My business'!$B$16,"OVERDUE","Awaiting")))</f>
        <v/>
      </c>
    </row>
    <row r="119">
      <c r="A119" s="2" t="n"/>
      <c r="B119" s="5" t="n"/>
      <c r="C119" s="2" t="n"/>
      <c r="D119" s="15" t="n"/>
      <c r="E119" s="5" t="n"/>
      <c r="F119">
        <f>IF(OR(B119="",E119=""),"",E119-B119)</f>
        <v/>
      </c>
      <c r="G119">
        <f>IF(B119="","",IF(E119&lt;&gt;"","Paid",IF(TODAY()-B119&gt;'My business'!$B$16,"OVERDUE","Awaiting")))</f>
        <v/>
      </c>
    </row>
    <row r="120">
      <c r="A120" s="2" t="n"/>
      <c r="B120" s="5" t="n"/>
      <c r="C120" s="2" t="n"/>
      <c r="D120" s="15" t="n"/>
      <c r="E120" s="5" t="n"/>
      <c r="F120">
        <f>IF(OR(B120="",E120=""),"",E120-B120)</f>
        <v/>
      </c>
      <c r="G120">
        <f>IF(B120="","",IF(E120&lt;&gt;"","Paid",IF(TODAY()-B120&gt;'My business'!$B$16,"OVERDUE","Awaiting")))</f>
        <v/>
      </c>
    </row>
    <row r="121">
      <c r="A121" s="2" t="n"/>
      <c r="B121" s="5" t="n"/>
      <c r="C121" s="2" t="n"/>
      <c r="D121" s="15" t="n"/>
      <c r="E121" s="5" t="n"/>
      <c r="F121">
        <f>IF(OR(B121="",E121=""),"",E121-B121)</f>
        <v/>
      </c>
      <c r="G121">
        <f>IF(B121="","",IF(E121&lt;&gt;"","Paid",IF(TODAY()-B121&gt;'My business'!$B$16,"OVERDUE","Awaiting")))</f>
        <v/>
      </c>
    </row>
    <row r="122">
      <c r="A122" s="2" t="n"/>
      <c r="B122" s="5" t="n"/>
      <c r="C122" s="2" t="n"/>
      <c r="D122" s="15" t="n"/>
      <c r="E122" s="5" t="n"/>
      <c r="F122">
        <f>IF(OR(B122="",E122=""),"",E122-B122)</f>
        <v/>
      </c>
      <c r="G122">
        <f>IF(B122="","",IF(E122&lt;&gt;"","Paid",IF(TODAY()-B122&gt;'My business'!$B$16,"OVERDUE","Awaiting")))</f>
        <v/>
      </c>
    </row>
    <row r="123">
      <c r="A123" s="2" t="n"/>
      <c r="B123" s="5" t="n"/>
      <c r="C123" s="2" t="n"/>
      <c r="D123" s="15" t="n"/>
      <c r="E123" s="5" t="n"/>
      <c r="F123">
        <f>IF(OR(B123="",E123=""),"",E123-B123)</f>
        <v/>
      </c>
      <c r="G123">
        <f>IF(B123="","",IF(E123&lt;&gt;"","Paid",IF(TODAY()-B123&gt;'My business'!$B$16,"OVERDUE","Awaiting")))</f>
        <v/>
      </c>
    </row>
    <row r="124">
      <c r="A124" s="2" t="n"/>
      <c r="B124" s="5" t="n"/>
      <c r="C124" s="2" t="n"/>
      <c r="D124" s="15" t="n"/>
      <c r="E124" s="5" t="n"/>
      <c r="F124">
        <f>IF(OR(B124="",E124=""),"",E124-B124)</f>
        <v/>
      </c>
      <c r="G124">
        <f>IF(B124="","",IF(E124&lt;&gt;"","Paid",IF(TODAY()-B124&gt;'My business'!$B$16,"OVERDUE","Awaiting")))</f>
        <v/>
      </c>
    </row>
    <row r="125">
      <c r="A125" s="2" t="n"/>
      <c r="B125" s="5" t="n"/>
      <c r="C125" s="2" t="n"/>
      <c r="D125" s="15" t="n"/>
      <c r="E125" s="5" t="n"/>
      <c r="F125">
        <f>IF(OR(B125="",E125=""),"",E125-B125)</f>
        <v/>
      </c>
      <c r="G125">
        <f>IF(B125="","",IF(E125&lt;&gt;"","Paid",IF(TODAY()-B125&gt;'My business'!$B$16,"OVERDUE","Awaiting")))</f>
        <v/>
      </c>
    </row>
    <row r="126">
      <c r="A126" s="2" t="n"/>
      <c r="B126" s="5" t="n"/>
      <c r="C126" s="2" t="n"/>
      <c r="D126" s="15" t="n"/>
      <c r="E126" s="5" t="n"/>
      <c r="F126">
        <f>IF(OR(B126="",E126=""),"",E126-B126)</f>
        <v/>
      </c>
      <c r="G126">
        <f>IF(B126="","",IF(E126&lt;&gt;"","Paid",IF(TODAY()-B126&gt;'My business'!$B$16,"OVERDUE","Awaiting")))</f>
        <v/>
      </c>
    </row>
    <row r="127">
      <c r="A127" s="2" t="n"/>
      <c r="B127" s="5" t="n"/>
      <c r="C127" s="2" t="n"/>
      <c r="D127" s="15" t="n"/>
      <c r="E127" s="5" t="n"/>
      <c r="F127">
        <f>IF(OR(B127="",E127=""),"",E127-B127)</f>
        <v/>
      </c>
      <c r="G127">
        <f>IF(B127="","",IF(E127&lt;&gt;"","Paid",IF(TODAY()-B127&gt;'My business'!$B$16,"OVERDUE","Awaiting")))</f>
        <v/>
      </c>
    </row>
    <row r="128">
      <c r="A128" s="2" t="n"/>
      <c r="B128" s="5" t="n"/>
      <c r="C128" s="2" t="n"/>
      <c r="D128" s="15" t="n"/>
      <c r="E128" s="5" t="n"/>
      <c r="F128">
        <f>IF(OR(B128="",E128=""),"",E128-B128)</f>
        <v/>
      </c>
      <c r="G128">
        <f>IF(B128="","",IF(E128&lt;&gt;"","Paid",IF(TODAY()-B128&gt;'My business'!$B$16,"OVERDUE","Awaiting")))</f>
        <v/>
      </c>
    </row>
    <row r="129">
      <c r="A129" s="2" t="n"/>
      <c r="B129" s="5" t="n"/>
      <c r="C129" s="2" t="n"/>
      <c r="D129" s="15" t="n"/>
      <c r="E129" s="5" t="n"/>
      <c r="F129">
        <f>IF(OR(B129="",E129=""),"",E129-B129)</f>
        <v/>
      </c>
      <c r="G129">
        <f>IF(B129="","",IF(E129&lt;&gt;"","Paid",IF(TODAY()-B129&gt;'My business'!$B$16,"OVERDUE","Awaiting")))</f>
        <v/>
      </c>
    </row>
    <row r="130">
      <c r="A130" s="2" t="n"/>
      <c r="B130" s="5" t="n"/>
      <c r="C130" s="2" t="n"/>
      <c r="D130" s="15" t="n"/>
      <c r="E130" s="5" t="n"/>
      <c r="F130">
        <f>IF(OR(B130="",E130=""),"",E130-B130)</f>
        <v/>
      </c>
      <c r="G130">
        <f>IF(B130="","",IF(E130&lt;&gt;"","Paid",IF(TODAY()-B130&gt;'My business'!$B$16,"OVERDUE","Awaiting")))</f>
        <v/>
      </c>
    </row>
    <row r="131">
      <c r="A131" s="2" t="n"/>
      <c r="B131" s="5" t="n"/>
      <c r="C131" s="2" t="n"/>
      <c r="D131" s="15" t="n"/>
      <c r="E131" s="5" t="n"/>
      <c r="F131">
        <f>IF(OR(B131="",E131=""),"",E131-B131)</f>
        <v/>
      </c>
      <c r="G131">
        <f>IF(B131="","",IF(E131&lt;&gt;"","Paid",IF(TODAY()-B131&gt;'My business'!$B$16,"OVERDUE","Awaiting")))</f>
        <v/>
      </c>
    </row>
    <row r="132">
      <c r="A132" s="2" t="n"/>
      <c r="B132" s="5" t="n"/>
      <c r="C132" s="2" t="n"/>
      <c r="D132" s="15" t="n"/>
      <c r="E132" s="5" t="n"/>
      <c r="F132">
        <f>IF(OR(B132="",E132=""),"",E132-B132)</f>
        <v/>
      </c>
      <c r="G132">
        <f>IF(B132="","",IF(E132&lt;&gt;"","Paid",IF(TODAY()-B132&gt;'My business'!$B$16,"OVERDUE","Awaiting")))</f>
        <v/>
      </c>
    </row>
    <row r="133">
      <c r="A133" s="2" t="n"/>
      <c r="B133" s="5" t="n"/>
      <c r="C133" s="2" t="n"/>
      <c r="D133" s="15" t="n"/>
      <c r="E133" s="5" t="n"/>
      <c r="F133">
        <f>IF(OR(B133="",E133=""),"",E133-B133)</f>
        <v/>
      </c>
      <c r="G133">
        <f>IF(B133="","",IF(E133&lt;&gt;"","Paid",IF(TODAY()-B133&gt;'My business'!$B$16,"OVERDUE","Awaiting")))</f>
        <v/>
      </c>
    </row>
    <row r="134">
      <c r="A134" s="2" t="n"/>
      <c r="B134" s="5" t="n"/>
      <c r="C134" s="2" t="n"/>
      <c r="D134" s="15" t="n"/>
      <c r="E134" s="5" t="n"/>
      <c r="F134">
        <f>IF(OR(B134="",E134=""),"",E134-B134)</f>
        <v/>
      </c>
      <c r="G134">
        <f>IF(B134="","",IF(E134&lt;&gt;"","Paid",IF(TODAY()-B134&gt;'My business'!$B$16,"OVERDUE","Awaiting")))</f>
        <v/>
      </c>
    </row>
    <row r="135">
      <c r="A135" s="2" t="n"/>
      <c r="B135" s="5" t="n"/>
      <c r="C135" s="2" t="n"/>
      <c r="D135" s="15" t="n"/>
      <c r="E135" s="5" t="n"/>
      <c r="F135">
        <f>IF(OR(B135="",E135=""),"",E135-B135)</f>
        <v/>
      </c>
      <c r="G135">
        <f>IF(B135="","",IF(E135&lt;&gt;"","Paid",IF(TODAY()-B135&gt;'My business'!$B$16,"OVERDUE","Awaiting")))</f>
        <v/>
      </c>
    </row>
    <row r="136">
      <c r="A136" s="2" t="n"/>
      <c r="B136" s="5" t="n"/>
      <c r="C136" s="2" t="n"/>
      <c r="D136" s="15" t="n"/>
      <c r="E136" s="5" t="n"/>
      <c r="F136">
        <f>IF(OR(B136="",E136=""),"",E136-B136)</f>
        <v/>
      </c>
      <c r="G136">
        <f>IF(B136="","",IF(E136&lt;&gt;"","Paid",IF(TODAY()-B136&gt;'My business'!$B$16,"OVERDUE","Awaiting")))</f>
        <v/>
      </c>
    </row>
    <row r="137">
      <c r="A137" s="2" t="n"/>
      <c r="B137" s="5" t="n"/>
      <c r="C137" s="2" t="n"/>
      <c r="D137" s="15" t="n"/>
      <c r="E137" s="5" t="n"/>
      <c r="F137">
        <f>IF(OR(B137="",E137=""),"",E137-B137)</f>
        <v/>
      </c>
      <c r="G137">
        <f>IF(B137="","",IF(E137&lt;&gt;"","Paid",IF(TODAY()-B137&gt;'My business'!$B$16,"OVERDUE","Awaiting")))</f>
        <v/>
      </c>
    </row>
    <row r="138">
      <c r="A138" s="2" t="n"/>
      <c r="B138" s="5" t="n"/>
      <c r="C138" s="2" t="n"/>
      <c r="D138" s="15" t="n"/>
      <c r="E138" s="5" t="n"/>
      <c r="F138">
        <f>IF(OR(B138="",E138=""),"",E138-B138)</f>
        <v/>
      </c>
      <c r="G138">
        <f>IF(B138="","",IF(E138&lt;&gt;"","Paid",IF(TODAY()-B138&gt;'My business'!$B$16,"OVERDUE","Awaiting")))</f>
        <v/>
      </c>
    </row>
    <row r="139">
      <c r="A139" s="2" t="n"/>
      <c r="B139" s="5" t="n"/>
      <c r="C139" s="2" t="n"/>
      <c r="D139" s="15" t="n"/>
      <c r="E139" s="5" t="n"/>
      <c r="F139">
        <f>IF(OR(B139="",E139=""),"",E139-B139)</f>
        <v/>
      </c>
      <c r="G139">
        <f>IF(B139="","",IF(E139&lt;&gt;"","Paid",IF(TODAY()-B139&gt;'My business'!$B$16,"OVERDUE","Awaiting")))</f>
        <v/>
      </c>
    </row>
    <row r="140">
      <c r="A140" s="2" t="n"/>
      <c r="B140" s="5" t="n"/>
      <c r="C140" s="2" t="n"/>
      <c r="D140" s="15" t="n"/>
      <c r="E140" s="5" t="n"/>
      <c r="F140">
        <f>IF(OR(B140="",E140=""),"",E140-B140)</f>
        <v/>
      </c>
      <c r="G140">
        <f>IF(B140="","",IF(E140&lt;&gt;"","Paid",IF(TODAY()-B140&gt;'My business'!$B$16,"OVERDUE","Awaiting")))</f>
        <v/>
      </c>
    </row>
    <row r="141">
      <c r="A141" s="2" t="n"/>
      <c r="B141" s="5" t="n"/>
      <c r="C141" s="2" t="n"/>
      <c r="D141" s="15" t="n"/>
      <c r="E141" s="5" t="n"/>
      <c r="F141">
        <f>IF(OR(B141="",E141=""),"",E141-B141)</f>
        <v/>
      </c>
      <c r="G141">
        <f>IF(B141="","",IF(E141&lt;&gt;"","Paid",IF(TODAY()-B141&gt;'My business'!$B$16,"OVERDUE","Awaiting")))</f>
        <v/>
      </c>
    </row>
    <row r="142">
      <c r="A142" s="2" t="n"/>
      <c r="B142" s="5" t="n"/>
      <c r="C142" s="2" t="n"/>
      <c r="D142" s="15" t="n"/>
      <c r="E142" s="5" t="n"/>
      <c r="F142">
        <f>IF(OR(B142="",E142=""),"",E142-B142)</f>
        <v/>
      </c>
      <c r="G142">
        <f>IF(B142="","",IF(E142&lt;&gt;"","Paid",IF(TODAY()-B142&gt;'My business'!$B$16,"OVERDUE","Awaiting")))</f>
        <v/>
      </c>
    </row>
    <row r="143">
      <c r="A143" s="2" t="n"/>
      <c r="B143" s="5" t="n"/>
      <c r="C143" s="2" t="n"/>
      <c r="D143" s="15" t="n"/>
      <c r="E143" s="5" t="n"/>
      <c r="F143">
        <f>IF(OR(B143="",E143=""),"",E143-B143)</f>
        <v/>
      </c>
      <c r="G143">
        <f>IF(B143="","",IF(E143&lt;&gt;"","Paid",IF(TODAY()-B143&gt;'My business'!$B$16,"OVERDUE","Awaiting")))</f>
        <v/>
      </c>
    </row>
    <row r="144">
      <c r="A144" s="2" t="n"/>
      <c r="B144" s="5" t="n"/>
      <c r="C144" s="2" t="n"/>
      <c r="D144" s="15" t="n"/>
      <c r="E144" s="5" t="n"/>
      <c r="F144">
        <f>IF(OR(B144="",E144=""),"",E144-B144)</f>
        <v/>
      </c>
      <c r="G144">
        <f>IF(B144="","",IF(E144&lt;&gt;"","Paid",IF(TODAY()-B144&gt;'My business'!$B$16,"OVERDUE","Awaiting")))</f>
        <v/>
      </c>
    </row>
    <row r="145">
      <c r="A145" s="2" t="n"/>
      <c r="B145" s="5" t="n"/>
      <c r="C145" s="2" t="n"/>
      <c r="D145" s="15" t="n"/>
      <c r="E145" s="5" t="n"/>
      <c r="F145">
        <f>IF(OR(B145="",E145=""),"",E145-B145)</f>
        <v/>
      </c>
      <c r="G145">
        <f>IF(B145="","",IF(E145&lt;&gt;"","Paid",IF(TODAY()-B145&gt;'My business'!$B$16,"OVERDUE","Awaiting")))</f>
        <v/>
      </c>
    </row>
    <row r="146">
      <c r="A146" s="2" t="n"/>
      <c r="B146" s="5" t="n"/>
      <c r="C146" s="2" t="n"/>
      <c r="D146" s="15" t="n"/>
      <c r="E146" s="5" t="n"/>
      <c r="F146">
        <f>IF(OR(B146="",E146=""),"",E146-B146)</f>
        <v/>
      </c>
      <c r="G146">
        <f>IF(B146="","",IF(E146&lt;&gt;"","Paid",IF(TODAY()-B146&gt;'My business'!$B$16,"OVERDUE","Awaiting")))</f>
        <v/>
      </c>
    </row>
    <row r="147">
      <c r="A147" s="2" t="n"/>
      <c r="B147" s="5" t="n"/>
      <c r="C147" s="2" t="n"/>
      <c r="D147" s="15" t="n"/>
      <c r="E147" s="5" t="n"/>
      <c r="F147">
        <f>IF(OR(B147="",E147=""),"",E147-B147)</f>
        <v/>
      </c>
      <c r="G147">
        <f>IF(B147="","",IF(E147&lt;&gt;"","Paid",IF(TODAY()-B147&gt;'My business'!$B$16,"OVERDUE","Awaiting")))</f>
        <v/>
      </c>
    </row>
    <row r="148">
      <c r="A148" s="2" t="n"/>
      <c r="B148" s="5" t="n"/>
      <c r="C148" s="2" t="n"/>
      <c r="D148" s="15" t="n"/>
      <c r="E148" s="5" t="n"/>
      <c r="F148">
        <f>IF(OR(B148="",E148=""),"",E148-B148)</f>
        <v/>
      </c>
      <c r="G148">
        <f>IF(B148="","",IF(E148&lt;&gt;"","Paid",IF(TODAY()-B148&gt;'My business'!$B$16,"OVERDUE","Awaiting")))</f>
        <v/>
      </c>
    </row>
    <row r="149">
      <c r="A149" s="2" t="n"/>
      <c r="B149" s="5" t="n"/>
      <c r="C149" s="2" t="n"/>
      <c r="D149" s="15" t="n"/>
      <c r="E149" s="5" t="n"/>
      <c r="F149">
        <f>IF(OR(B149="",E149=""),"",E149-B149)</f>
        <v/>
      </c>
      <c r="G149">
        <f>IF(B149="","",IF(E149&lt;&gt;"","Paid",IF(TODAY()-B149&gt;'My business'!$B$16,"OVERDUE","Awaiting")))</f>
        <v/>
      </c>
    </row>
    <row r="150">
      <c r="A150" s="2" t="n"/>
      <c r="B150" s="5" t="n"/>
      <c r="C150" s="2" t="n"/>
      <c r="D150" s="15" t="n"/>
      <c r="E150" s="5" t="n"/>
      <c r="F150">
        <f>IF(OR(B150="",E150=""),"",E150-B150)</f>
        <v/>
      </c>
      <c r="G150">
        <f>IF(B150="","",IF(E150&lt;&gt;"","Paid",IF(TODAY()-B150&gt;'My business'!$B$16,"OVERDUE","Awaiting")))</f>
        <v/>
      </c>
    </row>
    <row r="151">
      <c r="A151" s="2" t="n"/>
      <c r="B151" s="5" t="n"/>
      <c r="C151" s="2" t="n"/>
      <c r="D151" s="15" t="n"/>
      <c r="E151" s="5" t="n"/>
      <c r="F151">
        <f>IF(OR(B151="",E151=""),"",E151-B151)</f>
        <v/>
      </c>
      <c r="G151">
        <f>IF(B151="","",IF(E151&lt;&gt;"","Paid",IF(TODAY()-B151&gt;'My business'!$B$16,"OVERDUE","Awaiting")))</f>
        <v/>
      </c>
    </row>
    <row r="152">
      <c r="A152" s="2" t="n"/>
      <c r="B152" s="5" t="n"/>
      <c r="C152" s="2" t="n"/>
      <c r="D152" s="15" t="n"/>
      <c r="E152" s="5" t="n"/>
      <c r="F152">
        <f>IF(OR(B152="",E152=""),"",E152-B152)</f>
        <v/>
      </c>
      <c r="G152">
        <f>IF(B152="","",IF(E152&lt;&gt;"","Paid",IF(TODAY()-B152&gt;'My business'!$B$16,"OVERDUE","Awaiting")))</f>
        <v/>
      </c>
    </row>
    <row r="153">
      <c r="A153" s="2" t="n"/>
      <c r="B153" s="5" t="n"/>
      <c r="C153" s="2" t="n"/>
      <c r="D153" s="15" t="n"/>
      <c r="E153" s="5" t="n"/>
      <c r="F153">
        <f>IF(OR(B153="",E153=""),"",E153-B153)</f>
        <v/>
      </c>
      <c r="G153">
        <f>IF(B153="","",IF(E153&lt;&gt;"","Paid",IF(TODAY()-B153&gt;'My business'!$B$16,"OVERDUE","Awaiting")))</f>
        <v/>
      </c>
    </row>
    <row r="154">
      <c r="A154" s="2" t="n"/>
      <c r="B154" s="5" t="n"/>
      <c r="C154" s="2" t="n"/>
      <c r="D154" s="15" t="n"/>
      <c r="E154" s="5" t="n"/>
      <c r="F154">
        <f>IF(OR(B154="",E154=""),"",E154-B154)</f>
        <v/>
      </c>
      <c r="G154">
        <f>IF(B154="","",IF(E154&lt;&gt;"","Paid",IF(TODAY()-B154&gt;'My business'!$B$16,"OVERDUE","Awaiting")))</f>
        <v/>
      </c>
    </row>
    <row r="155">
      <c r="A155" s="2" t="n"/>
      <c r="B155" s="5" t="n"/>
      <c r="C155" s="2" t="n"/>
      <c r="D155" s="15" t="n"/>
      <c r="E155" s="5" t="n"/>
      <c r="F155">
        <f>IF(OR(B155="",E155=""),"",E155-B155)</f>
        <v/>
      </c>
      <c r="G155">
        <f>IF(B155="","",IF(E155&lt;&gt;"","Paid",IF(TODAY()-B155&gt;'My business'!$B$16,"OVERDUE","Awaiting")))</f>
        <v/>
      </c>
    </row>
    <row r="156">
      <c r="A156" s="2" t="n"/>
      <c r="B156" s="5" t="n"/>
      <c r="C156" s="2" t="n"/>
      <c r="D156" s="15" t="n"/>
      <c r="E156" s="5" t="n"/>
      <c r="F156">
        <f>IF(OR(B156="",E156=""),"",E156-B156)</f>
        <v/>
      </c>
      <c r="G156">
        <f>IF(B156="","",IF(E156&lt;&gt;"","Paid",IF(TODAY()-B156&gt;'My business'!$B$16,"OVERDUE","Awaiting")))</f>
        <v/>
      </c>
    </row>
    <row r="157">
      <c r="A157" s="2" t="n"/>
      <c r="B157" s="5" t="n"/>
      <c r="C157" s="2" t="n"/>
      <c r="D157" s="15" t="n"/>
      <c r="E157" s="5" t="n"/>
      <c r="F157">
        <f>IF(OR(B157="",E157=""),"",E157-B157)</f>
        <v/>
      </c>
      <c r="G157">
        <f>IF(B157="","",IF(E157&lt;&gt;"","Paid",IF(TODAY()-B157&gt;'My business'!$B$16,"OVERDUE","Awaiting")))</f>
        <v/>
      </c>
    </row>
    <row r="158">
      <c r="A158" s="2" t="n"/>
      <c r="B158" s="5" t="n"/>
      <c r="C158" s="2" t="n"/>
      <c r="D158" s="15" t="n"/>
      <c r="E158" s="5" t="n"/>
      <c r="F158">
        <f>IF(OR(B158="",E158=""),"",E158-B158)</f>
        <v/>
      </c>
      <c r="G158">
        <f>IF(B158="","",IF(E158&lt;&gt;"","Paid",IF(TODAY()-B158&gt;'My business'!$B$16,"OVERDUE","Awaiting")))</f>
        <v/>
      </c>
    </row>
    <row r="159">
      <c r="A159" s="2" t="n"/>
      <c r="B159" s="5" t="n"/>
      <c r="C159" s="2" t="n"/>
      <c r="D159" s="15" t="n"/>
      <c r="E159" s="5" t="n"/>
      <c r="F159">
        <f>IF(OR(B159="",E159=""),"",E159-B159)</f>
        <v/>
      </c>
      <c r="G159">
        <f>IF(B159="","",IF(E159&lt;&gt;"","Paid",IF(TODAY()-B159&gt;'My business'!$B$16,"OVERDUE","Awaiting")))</f>
        <v/>
      </c>
    </row>
    <row r="160">
      <c r="A160" s="2" t="n"/>
      <c r="B160" s="5" t="n"/>
      <c r="C160" s="2" t="n"/>
      <c r="D160" s="15" t="n"/>
      <c r="E160" s="5" t="n"/>
      <c r="F160">
        <f>IF(OR(B160="",E160=""),"",E160-B160)</f>
        <v/>
      </c>
      <c r="G160">
        <f>IF(B160="","",IF(E160&lt;&gt;"","Paid",IF(TODAY()-B160&gt;'My business'!$B$16,"OVERDUE","Awaiting")))</f>
        <v/>
      </c>
    </row>
    <row r="161">
      <c r="A161" s="2" t="n"/>
      <c r="B161" s="5" t="n"/>
      <c r="C161" s="2" t="n"/>
      <c r="D161" s="15" t="n"/>
      <c r="E161" s="5" t="n"/>
      <c r="F161">
        <f>IF(OR(B161="",E161=""),"",E161-B161)</f>
        <v/>
      </c>
      <c r="G161">
        <f>IF(B161="","",IF(E161&lt;&gt;"","Paid",IF(TODAY()-B161&gt;'My business'!$B$16,"OVERDUE","Awaiting")))</f>
        <v/>
      </c>
    </row>
    <row r="162">
      <c r="A162" s="2" t="n"/>
      <c r="B162" s="5" t="n"/>
      <c r="C162" s="2" t="n"/>
      <c r="D162" s="15" t="n"/>
      <c r="E162" s="5" t="n"/>
      <c r="F162">
        <f>IF(OR(B162="",E162=""),"",E162-B162)</f>
        <v/>
      </c>
      <c r="G162">
        <f>IF(B162="","",IF(E162&lt;&gt;"","Paid",IF(TODAY()-B162&gt;'My business'!$B$16,"OVERDUE","Awaiting")))</f>
        <v/>
      </c>
    </row>
    <row r="163">
      <c r="A163" s="2" t="n"/>
      <c r="B163" s="5" t="n"/>
      <c r="C163" s="2" t="n"/>
      <c r="D163" s="15" t="n"/>
      <c r="E163" s="5" t="n"/>
      <c r="F163">
        <f>IF(OR(B163="",E163=""),"",E163-B163)</f>
        <v/>
      </c>
      <c r="G163">
        <f>IF(B163="","",IF(E163&lt;&gt;"","Paid",IF(TODAY()-B163&gt;'My business'!$B$16,"OVERDUE","Awaiting")))</f>
        <v/>
      </c>
    </row>
    <row r="164">
      <c r="A164" s="2" t="n"/>
      <c r="B164" s="5" t="n"/>
      <c r="C164" s="2" t="n"/>
      <c r="D164" s="15" t="n"/>
      <c r="E164" s="5" t="n"/>
      <c r="F164">
        <f>IF(OR(B164="",E164=""),"",E164-B164)</f>
        <v/>
      </c>
      <c r="G164">
        <f>IF(B164="","",IF(E164&lt;&gt;"","Paid",IF(TODAY()-B164&gt;'My business'!$B$16,"OVERDUE","Awaiting")))</f>
        <v/>
      </c>
    </row>
    <row r="165">
      <c r="A165" s="2" t="n"/>
      <c r="B165" s="5" t="n"/>
      <c r="C165" s="2" t="n"/>
      <c r="D165" s="15" t="n"/>
      <c r="E165" s="5" t="n"/>
      <c r="F165">
        <f>IF(OR(B165="",E165=""),"",E165-B165)</f>
        <v/>
      </c>
      <c r="G165">
        <f>IF(B165="","",IF(E165&lt;&gt;"","Paid",IF(TODAY()-B165&gt;'My business'!$B$16,"OVERDUE","Awaiting")))</f>
        <v/>
      </c>
    </row>
    <row r="166">
      <c r="A166" s="2" t="n"/>
      <c r="B166" s="5" t="n"/>
      <c r="C166" s="2" t="n"/>
      <c r="D166" s="15" t="n"/>
      <c r="E166" s="5" t="n"/>
      <c r="F166">
        <f>IF(OR(B166="",E166=""),"",E166-B166)</f>
        <v/>
      </c>
      <c r="G166">
        <f>IF(B166="","",IF(E166&lt;&gt;"","Paid",IF(TODAY()-B166&gt;'My business'!$B$16,"OVERDUE","Awaiting")))</f>
        <v/>
      </c>
    </row>
    <row r="167">
      <c r="A167" s="2" t="n"/>
      <c r="B167" s="5" t="n"/>
      <c r="C167" s="2" t="n"/>
      <c r="D167" s="15" t="n"/>
      <c r="E167" s="5" t="n"/>
      <c r="F167">
        <f>IF(OR(B167="",E167=""),"",E167-B167)</f>
        <v/>
      </c>
      <c r="G167">
        <f>IF(B167="","",IF(E167&lt;&gt;"","Paid",IF(TODAY()-B167&gt;'My business'!$B$16,"OVERDUE","Awaiting")))</f>
        <v/>
      </c>
    </row>
    <row r="168">
      <c r="A168" s="2" t="n"/>
      <c r="B168" s="5" t="n"/>
      <c r="C168" s="2" t="n"/>
      <c r="D168" s="15" t="n"/>
      <c r="E168" s="5" t="n"/>
      <c r="F168">
        <f>IF(OR(B168="",E168=""),"",E168-B168)</f>
        <v/>
      </c>
      <c r="G168">
        <f>IF(B168="","",IF(E168&lt;&gt;"","Paid",IF(TODAY()-B168&gt;'My business'!$B$16,"OVERDUE","Awaiting")))</f>
        <v/>
      </c>
    </row>
    <row r="169">
      <c r="A169" s="2" t="n"/>
      <c r="B169" s="5" t="n"/>
      <c r="C169" s="2" t="n"/>
      <c r="D169" s="15" t="n"/>
      <c r="E169" s="5" t="n"/>
      <c r="F169">
        <f>IF(OR(B169="",E169=""),"",E169-B169)</f>
        <v/>
      </c>
      <c r="G169">
        <f>IF(B169="","",IF(E169&lt;&gt;"","Paid",IF(TODAY()-B169&gt;'My business'!$B$16,"OVERDUE","Awaiting")))</f>
        <v/>
      </c>
    </row>
    <row r="170">
      <c r="A170" s="2" t="n"/>
      <c r="B170" s="5" t="n"/>
      <c r="C170" s="2" t="n"/>
      <c r="D170" s="15" t="n"/>
      <c r="E170" s="5" t="n"/>
      <c r="F170">
        <f>IF(OR(B170="",E170=""),"",E170-B170)</f>
        <v/>
      </c>
      <c r="G170">
        <f>IF(B170="","",IF(E170&lt;&gt;"","Paid",IF(TODAY()-B170&gt;'My business'!$B$16,"OVERDUE","Awaiting")))</f>
        <v/>
      </c>
    </row>
    <row r="171">
      <c r="A171" s="2" t="n"/>
      <c r="B171" s="5" t="n"/>
      <c r="C171" s="2" t="n"/>
      <c r="D171" s="15" t="n"/>
      <c r="E171" s="5" t="n"/>
      <c r="F171">
        <f>IF(OR(B171="",E171=""),"",E171-B171)</f>
        <v/>
      </c>
      <c r="G171">
        <f>IF(B171="","",IF(E171&lt;&gt;"","Paid",IF(TODAY()-B171&gt;'My business'!$B$16,"OVERDUE","Awaiting")))</f>
        <v/>
      </c>
    </row>
    <row r="172">
      <c r="A172" s="2" t="n"/>
      <c r="B172" s="5" t="n"/>
      <c r="C172" s="2" t="n"/>
      <c r="D172" s="15" t="n"/>
      <c r="E172" s="5" t="n"/>
      <c r="F172">
        <f>IF(OR(B172="",E172=""),"",E172-B172)</f>
        <v/>
      </c>
      <c r="G172">
        <f>IF(B172="","",IF(E172&lt;&gt;"","Paid",IF(TODAY()-B172&gt;'My business'!$B$16,"OVERDUE","Awaiting")))</f>
        <v/>
      </c>
    </row>
    <row r="173">
      <c r="A173" s="2" t="n"/>
      <c r="B173" s="5" t="n"/>
      <c r="C173" s="2" t="n"/>
      <c r="D173" s="15" t="n"/>
      <c r="E173" s="5" t="n"/>
      <c r="F173">
        <f>IF(OR(B173="",E173=""),"",E173-B173)</f>
        <v/>
      </c>
      <c r="G173">
        <f>IF(B173="","",IF(E173&lt;&gt;"","Paid",IF(TODAY()-B173&gt;'My business'!$B$16,"OVERDUE","Awaiting")))</f>
        <v/>
      </c>
    </row>
    <row r="174">
      <c r="A174" s="2" t="n"/>
      <c r="B174" s="5" t="n"/>
      <c r="C174" s="2" t="n"/>
      <c r="D174" s="15" t="n"/>
      <c r="E174" s="5" t="n"/>
      <c r="F174">
        <f>IF(OR(B174="",E174=""),"",E174-B174)</f>
        <v/>
      </c>
      <c r="G174">
        <f>IF(B174="","",IF(E174&lt;&gt;"","Paid",IF(TODAY()-B174&gt;'My business'!$B$16,"OVERDUE","Awaiting")))</f>
        <v/>
      </c>
    </row>
    <row r="175">
      <c r="A175" s="2" t="n"/>
      <c r="B175" s="5" t="n"/>
      <c r="C175" s="2" t="n"/>
      <c r="D175" s="15" t="n"/>
      <c r="E175" s="5" t="n"/>
      <c r="F175">
        <f>IF(OR(B175="",E175=""),"",E175-B175)</f>
        <v/>
      </c>
      <c r="G175">
        <f>IF(B175="","",IF(E175&lt;&gt;"","Paid",IF(TODAY()-B175&gt;'My business'!$B$16,"OVERDUE","Awaiting")))</f>
        <v/>
      </c>
    </row>
    <row r="176">
      <c r="A176" s="2" t="n"/>
      <c r="B176" s="5" t="n"/>
      <c r="C176" s="2" t="n"/>
      <c r="D176" s="15" t="n"/>
      <c r="E176" s="5" t="n"/>
      <c r="F176">
        <f>IF(OR(B176="",E176=""),"",E176-B176)</f>
        <v/>
      </c>
      <c r="G176">
        <f>IF(B176="","",IF(E176&lt;&gt;"","Paid",IF(TODAY()-B176&gt;'My business'!$B$16,"OVERDUE","Awaiting")))</f>
        <v/>
      </c>
    </row>
    <row r="177">
      <c r="A177" s="2" t="n"/>
      <c r="B177" s="5" t="n"/>
      <c r="C177" s="2" t="n"/>
      <c r="D177" s="15" t="n"/>
      <c r="E177" s="5" t="n"/>
      <c r="F177">
        <f>IF(OR(B177="",E177=""),"",E177-B177)</f>
        <v/>
      </c>
      <c r="G177">
        <f>IF(B177="","",IF(E177&lt;&gt;"","Paid",IF(TODAY()-B177&gt;'My business'!$B$16,"OVERDUE","Awaiting")))</f>
        <v/>
      </c>
    </row>
    <row r="178">
      <c r="A178" s="2" t="n"/>
      <c r="B178" s="5" t="n"/>
      <c r="C178" s="2" t="n"/>
      <c r="D178" s="15" t="n"/>
      <c r="E178" s="5" t="n"/>
      <c r="F178">
        <f>IF(OR(B178="",E178=""),"",E178-B178)</f>
        <v/>
      </c>
      <c r="G178">
        <f>IF(B178="","",IF(E178&lt;&gt;"","Paid",IF(TODAY()-B178&gt;'My business'!$B$16,"OVERDUE","Awaiting")))</f>
        <v/>
      </c>
    </row>
    <row r="179">
      <c r="A179" s="2" t="n"/>
      <c r="B179" s="5" t="n"/>
      <c r="C179" s="2" t="n"/>
      <c r="D179" s="15" t="n"/>
      <c r="E179" s="5" t="n"/>
      <c r="F179">
        <f>IF(OR(B179="",E179=""),"",E179-B179)</f>
        <v/>
      </c>
      <c r="G179">
        <f>IF(B179="","",IF(E179&lt;&gt;"","Paid",IF(TODAY()-B179&gt;'My business'!$B$16,"OVERDUE","Awaiting")))</f>
        <v/>
      </c>
    </row>
    <row r="180">
      <c r="A180" s="2" t="n"/>
      <c r="B180" s="5" t="n"/>
      <c r="C180" s="2" t="n"/>
      <c r="D180" s="15" t="n"/>
      <c r="E180" s="5" t="n"/>
      <c r="F180">
        <f>IF(OR(B180="",E180=""),"",E180-B180)</f>
        <v/>
      </c>
      <c r="G180">
        <f>IF(B180="","",IF(E180&lt;&gt;"","Paid",IF(TODAY()-B180&gt;'My business'!$B$16,"OVERDUE","Awaiting")))</f>
        <v/>
      </c>
    </row>
    <row r="181">
      <c r="A181" s="2" t="n"/>
      <c r="B181" s="5" t="n"/>
      <c r="C181" s="2" t="n"/>
      <c r="D181" s="15" t="n"/>
      <c r="E181" s="5" t="n"/>
      <c r="F181">
        <f>IF(OR(B181="",E181=""),"",E181-B181)</f>
        <v/>
      </c>
      <c r="G181">
        <f>IF(B181="","",IF(E181&lt;&gt;"","Paid",IF(TODAY()-B181&gt;'My business'!$B$16,"OVERDUE","Awaiting")))</f>
        <v/>
      </c>
    </row>
    <row r="182">
      <c r="A182" s="2" t="n"/>
      <c r="B182" s="5" t="n"/>
      <c r="C182" s="2" t="n"/>
      <c r="D182" s="15" t="n"/>
      <c r="E182" s="5" t="n"/>
      <c r="F182">
        <f>IF(OR(B182="",E182=""),"",E182-B182)</f>
        <v/>
      </c>
      <c r="G182">
        <f>IF(B182="","",IF(E182&lt;&gt;"","Paid",IF(TODAY()-B182&gt;'My business'!$B$16,"OVERDUE","Awaiting")))</f>
        <v/>
      </c>
    </row>
    <row r="183">
      <c r="A183" s="2" t="n"/>
      <c r="B183" s="5" t="n"/>
      <c r="C183" s="2" t="n"/>
      <c r="D183" s="15" t="n"/>
      <c r="E183" s="5" t="n"/>
      <c r="F183">
        <f>IF(OR(B183="",E183=""),"",E183-B183)</f>
        <v/>
      </c>
      <c r="G183">
        <f>IF(B183="","",IF(E183&lt;&gt;"","Paid",IF(TODAY()-B183&gt;'My business'!$B$16,"OVERDUE","Awaiting")))</f>
        <v/>
      </c>
    </row>
    <row r="184">
      <c r="A184" s="2" t="n"/>
      <c r="B184" s="5" t="n"/>
      <c r="C184" s="2" t="n"/>
      <c r="D184" s="15" t="n"/>
      <c r="E184" s="5" t="n"/>
      <c r="F184">
        <f>IF(OR(B184="",E184=""),"",E184-B184)</f>
        <v/>
      </c>
      <c r="G184">
        <f>IF(B184="","",IF(E184&lt;&gt;"","Paid",IF(TODAY()-B184&gt;'My business'!$B$16,"OVERDUE","Awaiting")))</f>
        <v/>
      </c>
    </row>
    <row r="185">
      <c r="A185" s="2" t="n"/>
      <c r="B185" s="5" t="n"/>
      <c r="C185" s="2" t="n"/>
      <c r="D185" s="15" t="n"/>
      <c r="E185" s="5" t="n"/>
      <c r="F185">
        <f>IF(OR(B185="",E185=""),"",E185-B185)</f>
        <v/>
      </c>
      <c r="G185">
        <f>IF(B185="","",IF(E185&lt;&gt;"","Paid",IF(TODAY()-B185&gt;'My business'!$B$16,"OVERDUE","Awaiting")))</f>
        <v/>
      </c>
    </row>
    <row r="186">
      <c r="A186" s="2" t="n"/>
      <c r="B186" s="5" t="n"/>
      <c r="C186" s="2" t="n"/>
      <c r="D186" s="15" t="n"/>
      <c r="E186" s="5" t="n"/>
      <c r="F186">
        <f>IF(OR(B186="",E186=""),"",E186-B186)</f>
        <v/>
      </c>
      <c r="G186">
        <f>IF(B186="","",IF(E186&lt;&gt;"","Paid",IF(TODAY()-B186&gt;'My business'!$B$16,"OVERDUE","Awaiting")))</f>
        <v/>
      </c>
    </row>
    <row r="187">
      <c r="A187" s="2" t="n"/>
      <c r="B187" s="5" t="n"/>
      <c r="C187" s="2" t="n"/>
      <c r="D187" s="15" t="n"/>
      <c r="E187" s="5" t="n"/>
      <c r="F187">
        <f>IF(OR(B187="",E187=""),"",E187-B187)</f>
        <v/>
      </c>
      <c r="G187">
        <f>IF(B187="","",IF(E187&lt;&gt;"","Paid",IF(TODAY()-B187&gt;'My business'!$B$16,"OVERDUE","Awaiting")))</f>
        <v/>
      </c>
    </row>
    <row r="188">
      <c r="A188" s="2" t="n"/>
      <c r="B188" s="5" t="n"/>
      <c r="C188" s="2" t="n"/>
      <c r="D188" s="15" t="n"/>
      <c r="E188" s="5" t="n"/>
      <c r="F188">
        <f>IF(OR(B188="",E188=""),"",E188-B188)</f>
        <v/>
      </c>
      <c r="G188">
        <f>IF(B188="","",IF(E188&lt;&gt;"","Paid",IF(TODAY()-B188&gt;'My business'!$B$16,"OVERDUE","Awaiting")))</f>
        <v/>
      </c>
    </row>
    <row r="189">
      <c r="A189" s="2" t="n"/>
      <c r="B189" s="5" t="n"/>
      <c r="C189" s="2" t="n"/>
      <c r="D189" s="15" t="n"/>
      <c r="E189" s="5" t="n"/>
      <c r="F189">
        <f>IF(OR(B189="",E189=""),"",E189-B189)</f>
        <v/>
      </c>
      <c r="G189">
        <f>IF(B189="","",IF(E189&lt;&gt;"","Paid",IF(TODAY()-B189&gt;'My business'!$B$16,"OVERDUE","Awaiting")))</f>
        <v/>
      </c>
    </row>
    <row r="190">
      <c r="A190" s="2" t="n"/>
      <c r="B190" s="5" t="n"/>
      <c r="C190" s="2" t="n"/>
      <c r="D190" s="15" t="n"/>
      <c r="E190" s="5" t="n"/>
      <c r="F190">
        <f>IF(OR(B190="",E190=""),"",E190-B190)</f>
        <v/>
      </c>
      <c r="G190">
        <f>IF(B190="","",IF(E190&lt;&gt;"","Paid",IF(TODAY()-B190&gt;'My business'!$B$16,"OVERDUE","Awaiting")))</f>
        <v/>
      </c>
    </row>
    <row r="191">
      <c r="A191" s="2" t="n"/>
      <c r="B191" s="5" t="n"/>
      <c r="C191" s="2" t="n"/>
      <c r="D191" s="15" t="n"/>
      <c r="E191" s="5" t="n"/>
      <c r="F191">
        <f>IF(OR(B191="",E191=""),"",E191-B191)</f>
        <v/>
      </c>
      <c r="G191">
        <f>IF(B191="","",IF(E191&lt;&gt;"","Paid",IF(TODAY()-B191&gt;'My business'!$B$16,"OVERDUE","Awaiting")))</f>
        <v/>
      </c>
    </row>
    <row r="192">
      <c r="A192" s="2" t="n"/>
      <c r="B192" s="5" t="n"/>
      <c r="C192" s="2" t="n"/>
      <c r="D192" s="15" t="n"/>
      <c r="E192" s="5" t="n"/>
      <c r="F192">
        <f>IF(OR(B192="",E192=""),"",E192-B192)</f>
        <v/>
      </c>
      <c r="G192">
        <f>IF(B192="","",IF(E192&lt;&gt;"","Paid",IF(TODAY()-B192&gt;'My business'!$B$16,"OVERDUE","Awaiting")))</f>
        <v/>
      </c>
    </row>
    <row r="193">
      <c r="A193" s="2" t="n"/>
      <c r="B193" s="5" t="n"/>
      <c r="C193" s="2" t="n"/>
      <c r="D193" s="15" t="n"/>
      <c r="E193" s="5" t="n"/>
      <c r="F193">
        <f>IF(OR(B193="",E193=""),"",E193-B193)</f>
        <v/>
      </c>
      <c r="G193">
        <f>IF(B193="","",IF(E193&lt;&gt;"","Paid",IF(TODAY()-B193&gt;'My business'!$B$16,"OVERDUE","Awaiting")))</f>
        <v/>
      </c>
    </row>
    <row r="194">
      <c r="A194" s="2" t="n"/>
      <c r="B194" s="5" t="n"/>
      <c r="C194" s="2" t="n"/>
      <c r="D194" s="15" t="n"/>
      <c r="E194" s="5" t="n"/>
      <c r="F194">
        <f>IF(OR(B194="",E194=""),"",E194-B194)</f>
        <v/>
      </c>
      <c r="G194">
        <f>IF(B194="","",IF(E194&lt;&gt;"","Paid",IF(TODAY()-B194&gt;'My business'!$B$16,"OVERDUE","Awaiting")))</f>
        <v/>
      </c>
    </row>
    <row r="195">
      <c r="A195" s="2" t="n"/>
      <c r="B195" s="5" t="n"/>
      <c r="C195" s="2" t="n"/>
      <c r="D195" s="15" t="n"/>
      <c r="E195" s="5" t="n"/>
      <c r="F195">
        <f>IF(OR(B195="",E195=""),"",E195-B195)</f>
        <v/>
      </c>
      <c r="G195">
        <f>IF(B195="","",IF(E195&lt;&gt;"","Paid",IF(TODAY()-B195&gt;'My business'!$B$16,"OVERDUE","Awaiting")))</f>
        <v/>
      </c>
    </row>
    <row r="196">
      <c r="A196" s="2" t="n"/>
      <c r="B196" s="5" t="n"/>
      <c r="C196" s="2" t="n"/>
      <c r="D196" s="15" t="n"/>
      <c r="E196" s="5" t="n"/>
      <c r="F196">
        <f>IF(OR(B196="",E196=""),"",E196-B196)</f>
        <v/>
      </c>
      <c r="G196">
        <f>IF(B196="","",IF(E196&lt;&gt;"","Paid",IF(TODAY()-B196&gt;'My business'!$B$16,"OVERDUE","Awaiting")))</f>
        <v/>
      </c>
    </row>
    <row r="197">
      <c r="A197" s="2" t="n"/>
      <c r="B197" s="5" t="n"/>
      <c r="C197" s="2" t="n"/>
      <c r="D197" s="15" t="n"/>
      <c r="E197" s="5" t="n"/>
      <c r="F197">
        <f>IF(OR(B197="",E197=""),"",E197-B197)</f>
        <v/>
      </c>
      <c r="G197">
        <f>IF(B197="","",IF(E197&lt;&gt;"","Paid",IF(TODAY()-B197&gt;'My business'!$B$16,"OVERDUE","Awaiting")))</f>
        <v/>
      </c>
    </row>
    <row r="198">
      <c r="A198" s="2" t="n"/>
      <c r="B198" s="5" t="n"/>
      <c r="C198" s="2" t="n"/>
      <c r="D198" s="15" t="n"/>
      <c r="E198" s="5" t="n"/>
      <c r="F198">
        <f>IF(OR(B198="",E198=""),"",E198-B198)</f>
        <v/>
      </c>
      <c r="G198">
        <f>IF(B198="","",IF(E198&lt;&gt;"","Paid",IF(TODAY()-B198&gt;'My business'!$B$16,"OVERDUE","Awaiting")))</f>
        <v/>
      </c>
    </row>
    <row r="199">
      <c r="A199" s="2" t="n"/>
      <c r="B199" s="5" t="n"/>
      <c r="C199" s="2" t="n"/>
      <c r="D199" s="15" t="n"/>
      <c r="E199" s="5" t="n"/>
      <c r="F199">
        <f>IF(OR(B199="",E199=""),"",E199-B199)</f>
        <v/>
      </c>
      <c r="G199">
        <f>IF(B199="","",IF(E199&lt;&gt;"","Paid",IF(TODAY()-B199&gt;'My business'!$B$16,"OVERDUE","Awaiting")))</f>
        <v/>
      </c>
    </row>
    <row r="200">
      <c r="A200" s="2" t="n"/>
      <c r="B200" s="5" t="n"/>
      <c r="C200" s="2" t="n"/>
      <c r="D200" s="15" t="n"/>
      <c r="E200" s="5" t="n"/>
      <c r="F200">
        <f>IF(OR(B200="",E200=""),"",E200-B200)</f>
        <v/>
      </c>
      <c r="G200">
        <f>IF(B200="","",IF(E200&lt;&gt;"","Paid",IF(TODAY()-B200&gt;'My business'!$B$16,"OVERDUE","Awaiting")))</f>
        <v/>
      </c>
    </row>
    <row r="201">
      <c r="A201" s="2" t="n"/>
      <c r="B201" s="5" t="n"/>
      <c r="C201" s="2" t="n"/>
      <c r="D201" s="15" t="n"/>
      <c r="E201" s="5" t="n"/>
      <c r="F201">
        <f>IF(OR(B201="",E201=""),"",E201-B201)</f>
        <v/>
      </c>
      <c r="G201">
        <f>IF(B201="","",IF(E201&lt;&gt;"","Paid",IF(TODAY()-B201&gt;'My business'!$B$16,"OVERDUE","Awaiting")))</f>
        <v/>
      </c>
    </row>
    <row r="202">
      <c r="A202" s="2" t="n"/>
      <c r="B202" s="5" t="n"/>
      <c r="C202" s="2" t="n"/>
      <c r="D202" s="15" t="n"/>
      <c r="E202" s="5" t="n"/>
      <c r="F202">
        <f>IF(OR(B202="",E202=""),"",E202-B202)</f>
        <v/>
      </c>
      <c r="G202">
        <f>IF(B202="","",IF(E202&lt;&gt;"","Paid",IF(TODAY()-B202&gt;'My business'!$B$16,"OVERDUE","Awaiting")))</f>
        <v/>
      </c>
    </row>
    <row r="203">
      <c r="A203" s="2" t="n"/>
      <c r="B203" s="5" t="n"/>
      <c r="C203" s="2" t="n"/>
      <c r="D203" s="15" t="n"/>
      <c r="E203" s="5" t="n"/>
      <c r="F203">
        <f>IF(OR(B203="",E203=""),"",E203-B203)</f>
        <v/>
      </c>
      <c r="G203">
        <f>IF(B203="","",IF(E203&lt;&gt;"","Paid",IF(TODAY()-B203&gt;'My business'!$B$16,"OVERDUE","Awaiting")))</f>
        <v/>
      </c>
    </row>
    <row r="204">
      <c r="A204" s="2" t="n"/>
      <c r="B204" s="5" t="n"/>
      <c r="C204" s="2" t="n"/>
      <c r="D204" s="15" t="n"/>
      <c r="E204" s="5" t="n"/>
      <c r="F204">
        <f>IF(OR(B204="",E204=""),"",E204-B204)</f>
        <v/>
      </c>
      <c r="G204">
        <f>IF(B204="","",IF(E204&lt;&gt;"","Paid",IF(TODAY()-B204&gt;'My business'!$B$16,"OVERDUE","Awaiting")))</f>
        <v/>
      </c>
    </row>
    <row r="205">
      <c r="A205" s="2" t="n"/>
      <c r="B205" s="5" t="n"/>
      <c r="C205" s="2" t="n"/>
      <c r="D205" s="15" t="n"/>
      <c r="E205" s="5" t="n"/>
      <c r="F205">
        <f>IF(OR(B205="",E205=""),"",E205-B205)</f>
        <v/>
      </c>
      <c r="G205">
        <f>IF(B205="","",IF(E205&lt;&gt;"","Paid",IF(TODAY()-B205&gt;'My business'!$B$16,"OVERDUE","Awaiting")))</f>
        <v/>
      </c>
    </row>
    <row r="206">
      <c r="A206" s="2" t="n"/>
      <c r="B206" s="5" t="n"/>
      <c r="C206" s="2" t="n"/>
      <c r="D206" s="15" t="n"/>
      <c r="E206" s="5" t="n"/>
      <c r="F206">
        <f>IF(OR(B206="",E206=""),"",E206-B206)</f>
        <v/>
      </c>
      <c r="G206">
        <f>IF(B206="","",IF(E206&lt;&gt;"","Paid",IF(TODAY()-B206&gt;'My business'!$B$16,"OVERDUE","Awaiting")))</f>
        <v/>
      </c>
    </row>
    <row r="207">
      <c r="A207" s="2" t="n"/>
      <c r="B207" s="5" t="n"/>
      <c r="C207" s="2" t="n"/>
      <c r="D207" s="15" t="n"/>
      <c r="E207" s="5" t="n"/>
      <c r="F207">
        <f>IF(OR(B207="",E207=""),"",E207-B207)</f>
        <v/>
      </c>
      <c r="G207">
        <f>IF(B207="","",IF(E207&lt;&gt;"","Paid",IF(TODAY()-B207&gt;'My business'!$B$16,"OVERDUE","Awaiting")))</f>
        <v/>
      </c>
    </row>
    <row r="208">
      <c r="A208" s="2" t="n"/>
      <c r="B208" s="5" t="n"/>
      <c r="C208" s="2" t="n"/>
      <c r="D208" s="15" t="n"/>
      <c r="E208" s="5" t="n"/>
      <c r="F208">
        <f>IF(OR(B208="",E208=""),"",E208-B208)</f>
        <v/>
      </c>
      <c r="G208">
        <f>IF(B208="","",IF(E208&lt;&gt;"","Paid",IF(TODAY()-B208&gt;'My business'!$B$16,"OVERDUE","Awaiting")))</f>
        <v/>
      </c>
    </row>
    <row r="209">
      <c r="A209" s="2" t="n"/>
      <c r="B209" s="5" t="n"/>
      <c r="C209" s="2" t="n"/>
      <c r="D209" s="15" t="n"/>
      <c r="E209" s="5" t="n"/>
      <c r="F209">
        <f>IF(OR(B209="",E209=""),"",E209-B209)</f>
        <v/>
      </c>
      <c r="G209">
        <f>IF(B209="","",IF(E209&lt;&gt;"","Paid",IF(TODAY()-B209&gt;'My business'!$B$16,"OVERDUE","Awaiting")))</f>
        <v/>
      </c>
    </row>
    <row r="210">
      <c r="A210" s="2" t="n"/>
      <c r="B210" s="5" t="n"/>
      <c r="C210" s="2" t="n"/>
      <c r="D210" s="15" t="n"/>
      <c r="E210" s="5" t="n"/>
      <c r="F210">
        <f>IF(OR(B210="",E210=""),"",E210-B210)</f>
        <v/>
      </c>
      <c r="G210">
        <f>IF(B210="","",IF(E210&lt;&gt;"","Paid",IF(TODAY()-B210&gt;'My business'!$B$16,"OVERDUE","Awaiting")))</f>
        <v/>
      </c>
    </row>
    <row r="211">
      <c r="A211" s="2" t="n"/>
      <c r="B211" s="5" t="n"/>
      <c r="C211" s="2" t="n"/>
      <c r="D211" s="15" t="n"/>
      <c r="E211" s="5" t="n"/>
      <c r="F211">
        <f>IF(OR(B211="",E211=""),"",E211-B211)</f>
        <v/>
      </c>
      <c r="G211">
        <f>IF(B211="","",IF(E211&lt;&gt;"","Paid",IF(TODAY()-B211&gt;'My business'!$B$16,"OVERDUE","Awaiting")))</f>
        <v/>
      </c>
    </row>
    <row r="212">
      <c r="A212" s="2" t="n"/>
      <c r="B212" s="5" t="n"/>
      <c r="C212" s="2" t="n"/>
      <c r="D212" s="15" t="n"/>
      <c r="E212" s="5" t="n"/>
      <c r="F212">
        <f>IF(OR(B212="",E212=""),"",E212-B212)</f>
        <v/>
      </c>
      <c r="G212">
        <f>IF(B212="","",IF(E212&lt;&gt;"","Paid",IF(TODAY()-B212&gt;'My business'!$B$16,"OVERDUE","Awaiting")))</f>
        <v/>
      </c>
    </row>
    <row r="213">
      <c r="A213" s="2" t="n"/>
      <c r="B213" s="5" t="n"/>
      <c r="C213" s="2" t="n"/>
      <c r="D213" s="15" t="n"/>
      <c r="E213" s="5" t="n"/>
      <c r="F213">
        <f>IF(OR(B213="",E213=""),"",E213-B213)</f>
        <v/>
      </c>
      <c r="G213">
        <f>IF(B213="","",IF(E213&lt;&gt;"","Paid",IF(TODAY()-B213&gt;'My business'!$B$16,"OVERDUE","Awaiting")))</f>
        <v/>
      </c>
    </row>
    <row r="214">
      <c r="A214" s="2" t="n"/>
      <c r="B214" s="5" t="n"/>
      <c r="C214" s="2" t="n"/>
      <c r="D214" s="15" t="n"/>
      <c r="E214" s="5" t="n"/>
      <c r="F214">
        <f>IF(OR(B214="",E214=""),"",E214-B214)</f>
        <v/>
      </c>
      <c r="G214">
        <f>IF(B214="","",IF(E214&lt;&gt;"","Paid",IF(TODAY()-B214&gt;'My business'!$B$16,"OVERDUE","Awaiting")))</f>
        <v/>
      </c>
    </row>
    <row r="215">
      <c r="A215" s="2" t="n"/>
      <c r="B215" s="5" t="n"/>
      <c r="C215" s="2" t="n"/>
      <c r="D215" s="15" t="n"/>
      <c r="E215" s="5" t="n"/>
      <c r="F215">
        <f>IF(OR(B215="",E215=""),"",E215-B215)</f>
        <v/>
      </c>
      <c r="G215">
        <f>IF(B215="","",IF(E215&lt;&gt;"","Paid",IF(TODAY()-B215&gt;'My business'!$B$16,"OVERDUE","Awaiting")))</f>
        <v/>
      </c>
    </row>
    <row r="216">
      <c r="A216" s="2" t="n"/>
      <c r="B216" s="5" t="n"/>
      <c r="C216" s="2" t="n"/>
      <c r="D216" s="15" t="n"/>
      <c r="E216" s="5" t="n"/>
      <c r="F216">
        <f>IF(OR(B216="",E216=""),"",E216-B216)</f>
        <v/>
      </c>
      <c r="G216">
        <f>IF(B216="","",IF(E216&lt;&gt;"","Paid",IF(TODAY()-B216&gt;'My business'!$B$16,"OVERDUE","Awaiting")))</f>
        <v/>
      </c>
    </row>
    <row r="217">
      <c r="A217" s="2" t="n"/>
      <c r="B217" s="5" t="n"/>
      <c r="C217" s="2" t="n"/>
      <c r="D217" s="15" t="n"/>
      <c r="E217" s="5" t="n"/>
      <c r="F217">
        <f>IF(OR(B217="",E217=""),"",E217-B217)</f>
        <v/>
      </c>
      <c r="G217">
        <f>IF(B217="","",IF(E217&lt;&gt;"","Paid",IF(TODAY()-B217&gt;'My business'!$B$16,"OVERDUE","Awaiting")))</f>
        <v/>
      </c>
    </row>
    <row r="218">
      <c r="A218" s="2" t="n"/>
      <c r="B218" s="5" t="n"/>
      <c r="C218" s="2" t="n"/>
      <c r="D218" s="15" t="n"/>
      <c r="E218" s="5" t="n"/>
      <c r="F218">
        <f>IF(OR(B218="",E218=""),"",E218-B218)</f>
        <v/>
      </c>
      <c r="G218">
        <f>IF(B218="","",IF(E218&lt;&gt;"","Paid",IF(TODAY()-B218&gt;'My business'!$B$16,"OVERDUE","Awaiting")))</f>
        <v/>
      </c>
    </row>
    <row r="219">
      <c r="A219" s="2" t="n"/>
      <c r="B219" s="5" t="n"/>
      <c r="C219" s="2" t="n"/>
      <c r="D219" s="15" t="n"/>
      <c r="E219" s="5" t="n"/>
      <c r="F219">
        <f>IF(OR(B219="",E219=""),"",E219-B219)</f>
        <v/>
      </c>
      <c r="G219">
        <f>IF(B219="","",IF(E219&lt;&gt;"","Paid",IF(TODAY()-B219&gt;'My business'!$B$16,"OVERDUE","Awaiting")))</f>
        <v/>
      </c>
    </row>
    <row r="220">
      <c r="A220" s="2" t="n"/>
      <c r="B220" s="5" t="n"/>
      <c r="C220" s="2" t="n"/>
      <c r="D220" s="15" t="n"/>
      <c r="E220" s="5" t="n"/>
      <c r="F220">
        <f>IF(OR(B220="",E220=""),"",E220-B220)</f>
        <v/>
      </c>
      <c r="G220">
        <f>IF(B220="","",IF(E220&lt;&gt;"","Paid",IF(TODAY()-B220&gt;'My business'!$B$16,"OVERDUE","Awaiting")))</f>
        <v/>
      </c>
    </row>
    <row r="221">
      <c r="A221" s="2" t="n"/>
      <c r="B221" s="5" t="n"/>
      <c r="C221" s="2" t="n"/>
      <c r="D221" s="15" t="n"/>
      <c r="E221" s="5" t="n"/>
      <c r="F221">
        <f>IF(OR(B221="",E221=""),"",E221-B221)</f>
        <v/>
      </c>
      <c r="G221">
        <f>IF(B221="","",IF(E221&lt;&gt;"","Paid",IF(TODAY()-B221&gt;'My business'!$B$16,"OVERDUE","Awaiting")))</f>
        <v/>
      </c>
    </row>
    <row r="222">
      <c r="A222" s="2" t="n"/>
      <c r="B222" s="5" t="n"/>
      <c r="C222" s="2" t="n"/>
      <c r="D222" s="15" t="n"/>
      <c r="E222" s="5" t="n"/>
      <c r="F222">
        <f>IF(OR(B222="",E222=""),"",E222-B222)</f>
        <v/>
      </c>
      <c r="G222">
        <f>IF(B222="","",IF(E222&lt;&gt;"","Paid",IF(TODAY()-B222&gt;'My business'!$B$16,"OVERDUE","Awaiting")))</f>
        <v/>
      </c>
    </row>
    <row r="223">
      <c r="A223" s="2" t="n"/>
      <c r="B223" s="5" t="n"/>
      <c r="C223" s="2" t="n"/>
      <c r="D223" s="15" t="n"/>
      <c r="E223" s="5" t="n"/>
      <c r="F223">
        <f>IF(OR(B223="",E223=""),"",E223-B223)</f>
        <v/>
      </c>
      <c r="G223">
        <f>IF(B223="","",IF(E223&lt;&gt;"","Paid",IF(TODAY()-B223&gt;'My business'!$B$16,"OVERDUE","Awaiting")))</f>
        <v/>
      </c>
    </row>
    <row r="224">
      <c r="A224" s="2" t="n"/>
      <c r="B224" s="5" t="n"/>
      <c r="C224" s="2" t="n"/>
      <c r="D224" s="15" t="n"/>
      <c r="E224" s="5" t="n"/>
      <c r="F224">
        <f>IF(OR(B224="",E224=""),"",E224-B224)</f>
        <v/>
      </c>
      <c r="G224">
        <f>IF(B224="","",IF(E224&lt;&gt;"","Paid",IF(TODAY()-B224&gt;'My business'!$B$16,"OVERDUE","Awaiting")))</f>
        <v/>
      </c>
    </row>
    <row r="225">
      <c r="A225" s="2" t="n"/>
      <c r="B225" s="5" t="n"/>
      <c r="C225" s="2" t="n"/>
      <c r="D225" s="15" t="n"/>
      <c r="E225" s="5" t="n"/>
      <c r="F225">
        <f>IF(OR(B225="",E225=""),"",E225-B225)</f>
        <v/>
      </c>
      <c r="G225">
        <f>IF(B225="","",IF(E225&lt;&gt;"","Paid",IF(TODAY()-B225&gt;'My business'!$B$16,"OVERDUE","Awaiting")))</f>
        <v/>
      </c>
    </row>
    <row r="226">
      <c r="A226" s="2" t="n"/>
      <c r="B226" s="5" t="n"/>
      <c r="C226" s="2" t="n"/>
      <c r="D226" s="15" t="n"/>
      <c r="E226" s="5" t="n"/>
      <c r="F226">
        <f>IF(OR(B226="",E226=""),"",E226-B226)</f>
        <v/>
      </c>
      <c r="G226">
        <f>IF(B226="","",IF(E226&lt;&gt;"","Paid",IF(TODAY()-B226&gt;'My business'!$B$16,"OVERDUE","Awaiting")))</f>
        <v/>
      </c>
    </row>
    <row r="227">
      <c r="A227" s="2" t="n"/>
      <c r="B227" s="5" t="n"/>
      <c r="C227" s="2" t="n"/>
      <c r="D227" s="15" t="n"/>
      <c r="E227" s="5" t="n"/>
      <c r="F227">
        <f>IF(OR(B227="",E227=""),"",E227-B227)</f>
        <v/>
      </c>
      <c r="G227">
        <f>IF(B227="","",IF(E227&lt;&gt;"","Paid",IF(TODAY()-B227&gt;'My business'!$B$16,"OVERDUE","Awaiting")))</f>
        <v/>
      </c>
    </row>
    <row r="228">
      <c r="A228" s="2" t="n"/>
      <c r="B228" s="5" t="n"/>
      <c r="C228" s="2" t="n"/>
      <c r="D228" s="15" t="n"/>
      <c r="E228" s="5" t="n"/>
      <c r="F228">
        <f>IF(OR(B228="",E228=""),"",E228-B228)</f>
        <v/>
      </c>
      <c r="G228">
        <f>IF(B228="","",IF(E228&lt;&gt;"","Paid",IF(TODAY()-B228&gt;'My business'!$B$16,"OVERDUE","Awaiting")))</f>
        <v/>
      </c>
    </row>
    <row r="229">
      <c r="A229" s="2" t="n"/>
      <c r="B229" s="5" t="n"/>
      <c r="C229" s="2" t="n"/>
      <c r="D229" s="15" t="n"/>
      <c r="E229" s="5" t="n"/>
      <c r="F229">
        <f>IF(OR(B229="",E229=""),"",E229-B229)</f>
        <v/>
      </c>
      <c r="G229">
        <f>IF(B229="","",IF(E229&lt;&gt;"","Paid",IF(TODAY()-B229&gt;'My business'!$B$16,"OVERDUE","Awaiting")))</f>
        <v/>
      </c>
    </row>
    <row r="230">
      <c r="A230" s="2" t="n"/>
      <c r="B230" s="5" t="n"/>
      <c r="C230" s="2" t="n"/>
      <c r="D230" s="15" t="n"/>
      <c r="E230" s="5" t="n"/>
      <c r="F230">
        <f>IF(OR(B230="",E230=""),"",E230-B230)</f>
        <v/>
      </c>
      <c r="G230">
        <f>IF(B230="","",IF(E230&lt;&gt;"","Paid",IF(TODAY()-B230&gt;'My business'!$B$16,"OVERDUE","Awaiting")))</f>
        <v/>
      </c>
    </row>
    <row r="231">
      <c r="A231" s="2" t="n"/>
      <c r="B231" s="5" t="n"/>
      <c r="C231" s="2" t="n"/>
      <c r="D231" s="15" t="n"/>
      <c r="E231" s="5" t="n"/>
      <c r="F231">
        <f>IF(OR(B231="",E231=""),"",E231-B231)</f>
        <v/>
      </c>
      <c r="G231">
        <f>IF(B231="","",IF(E231&lt;&gt;"","Paid",IF(TODAY()-B231&gt;'My business'!$B$16,"OVERDUE","Awaiting")))</f>
        <v/>
      </c>
    </row>
    <row r="232">
      <c r="A232" s="2" t="n"/>
      <c r="B232" s="5" t="n"/>
      <c r="C232" s="2" t="n"/>
      <c r="D232" s="15" t="n"/>
      <c r="E232" s="5" t="n"/>
      <c r="F232">
        <f>IF(OR(B232="",E232=""),"",E232-B232)</f>
        <v/>
      </c>
      <c r="G232">
        <f>IF(B232="","",IF(E232&lt;&gt;"","Paid",IF(TODAY()-B232&gt;'My business'!$B$16,"OVERDUE","Awaiting")))</f>
        <v/>
      </c>
    </row>
    <row r="233">
      <c r="A233" s="2" t="n"/>
      <c r="B233" s="5" t="n"/>
      <c r="C233" s="2" t="n"/>
      <c r="D233" s="15" t="n"/>
      <c r="E233" s="5" t="n"/>
      <c r="F233">
        <f>IF(OR(B233="",E233=""),"",E233-B233)</f>
        <v/>
      </c>
      <c r="G233">
        <f>IF(B233="","",IF(E233&lt;&gt;"","Paid",IF(TODAY()-B233&gt;'My business'!$B$16,"OVERDUE","Awaiting")))</f>
        <v/>
      </c>
    </row>
    <row r="234">
      <c r="A234" s="2" t="n"/>
      <c r="B234" s="5" t="n"/>
      <c r="C234" s="2" t="n"/>
      <c r="D234" s="15" t="n"/>
      <c r="E234" s="5" t="n"/>
      <c r="F234">
        <f>IF(OR(B234="",E234=""),"",E234-B234)</f>
        <v/>
      </c>
      <c r="G234">
        <f>IF(B234="","",IF(E234&lt;&gt;"","Paid",IF(TODAY()-B234&gt;'My business'!$B$16,"OVERDUE","Awaiting")))</f>
        <v/>
      </c>
    </row>
    <row r="235">
      <c r="A235" s="2" t="n"/>
      <c r="B235" s="5" t="n"/>
      <c r="C235" s="2" t="n"/>
      <c r="D235" s="15" t="n"/>
      <c r="E235" s="5" t="n"/>
      <c r="F235">
        <f>IF(OR(B235="",E235=""),"",E235-B235)</f>
        <v/>
      </c>
      <c r="G235">
        <f>IF(B235="","",IF(E235&lt;&gt;"","Paid",IF(TODAY()-B235&gt;'My business'!$B$16,"OVERDUE","Awaiting")))</f>
        <v/>
      </c>
    </row>
    <row r="236">
      <c r="A236" s="2" t="n"/>
      <c r="B236" s="5" t="n"/>
      <c r="C236" s="2" t="n"/>
      <c r="D236" s="15" t="n"/>
      <c r="E236" s="5" t="n"/>
      <c r="F236">
        <f>IF(OR(B236="",E236=""),"",E236-B236)</f>
        <v/>
      </c>
      <c r="G236">
        <f>IF(B236="","",IF(E236&lt;&gt;"","Paid",IF(TODAY()-B236&gt;'My business'!$B$16,"OVERDUE","Awaiting")))</f>
        <v/>
      </c>
    </row>
    <row r="237">
      <c r="A237" s="2" t="n"/>
      <c r="B237" s="5" t="n"/>
      <c r="C237" s="2" t="n"/>
      <c r="D237" s="15" t="n"/>
      <c r="E237" s="5" t="n"/>
      <c r="F237">
        <f>IF(OR(B237="",E237=""),"",E237-B237)</f>
        <v/>
      </c>
      <c r="G237">
        <f>IF(B237="","",IF(E237&lt;&gt;"","Paid",IF(TODAY()-B237&gt;'My business'!$B$16,"OVERDUE","Awaiting")))</f>
        <v/>
      </c>
    </row>
    <row r="238">
      <c r="A238" s="2" t="n"/>
      <c r="B238" s="5" t="n"/>
      <c r="C238" s="2" t="n"/>
      <c r="D238" s="15" t="n"/>
      <c r="E238" s="5" t="n"/>
      <c r="F238">
        <f>IF(OR(B238="",E238=""),"",E238-B238)</f>
        <v/>
      </c>
      <c r="G238">
        <f>IF(B238="","",IF(E238&lt;&gt;"","Paid",IF(TODAY()-B238&gt;'My business'!$B$16,"OVERDUE","Awaiting")))</f>
        <v/>
      </c>
    </row>
    <row r="239">
      <c r="A239" s="2" t="n"/>
      <c r="B239" s="5" t="n"/>
      <c r="C239" s="2" t="n"/>
      <c r="D239" s="15" t="n"/>
      <c r="E239" s="5" t="n"/>
      <c r="F239">
        <f>IF(OR(B239="",E239=""),"",E239-B239)</f>
        <v/>
      </c>
      <c r="G239">
        <f>IF(B239="","",IF(E239&lt;&gt;"","Paid",IF(TODAY()-B239&gt;'My business'!$B$16,"OVERDUE","Awaiting")))</f>
        <v/>
      </c>
    </row>
    <row r="240">
      <c r="A240" s="2" t="n"/>
      <c r="B240" s="5" t="n"/>
      <c r="C240" s="2" t="n"/>
      <c r="D240" s="15" t="n"/>
      <c r="E240" s="5" t="n"/>
      <c r="F240">
        <f>IF(OR(B240="",E240=""),"",E240-B240)</f>
        <v/>
      </c>
      <c r="G240">
        <f>IF(B240="","",IF(E240&lt;&gt;"","Paid",IF(TODAY()-B240&gt;'My business'!$B$16,"OVERDUE","Awaiting")))</f>
        <v/>
      </c>
    </row>
    <row r="241">
      <c r="A241" s="2" t="n"/>
      <c r="B241" s="5" t="n"/>
      <c r="C241" s="2" t="n"/>
      <c r="D241" s="15" t="n"/>
      <c r="E241" s="5" t="n"/>
      <c r="F241">
        <f>IF(OR(B241="",E241=""),"",E241-B241)</f>
        <v/>
      </c>
      <c r="G241">
        <f>IF(B241="","",IF(E241&lt;&gt;"","Paid",IF(TODAY()-B241&gt;'My business'!$B$16,"OVERDUE","Awaiting")))</f>
        <v/>
      </c>
    </row>
    <row r="242">
      <c r="A242" s="2" t="n"/>
      <c r="B242" s="5" t="n"/>
      <c r="C242" s="2" t="n"/>
      <c r="D242" s="15" t="n"/>
      <c r="E242" s="5" t="n"/>
      <c r="F242">
        <f>IF(OR(B242="",E242=""),"",E242-B242)</f>
        <v/>
      </c>
      <c r="G242">
        <f>IF(B242="","",IF(E242&lt;&gt;"","Paid",IF(TODAY()-B242&gt;'My business'!$B$16,"OVERDUE","Awaiting")))</f>
        <v/>
      </c>
    </row>
    <row r="243">
      <c r="A243" s="2" t="n"/>
      <c r="B243" s="5" t="n"/>
      <c r="C243" s="2" t="n"/>
      <c r="D243" s="15" t="n"/>
      <c r="E243" s="5" t="n"/>
      <c r="F243">
        <f>IF(OR(B243="",E243=""),"",E243-B243)</f>
        <v/>
      </c>
      <c r="G243">
        <f>IF(B243="","",IF(E243&lt;&gt;"","Paid",IF(TODAY()-B243&gt;'My business'!$B$16,"OVERDUE","Awaiting")))</f>
        <v/>
      </c>
    </row>
    <row r="244">
      <c r="A244" s="2" t="n"/>
      <c r="B244" s="5" t="n"/>
      <c r="C244" s="2" t="n"/>
      <c r="D244" s="15" t="n"/>
      <c r="E244" s="5" t="n"/>
      <c r="F244">
        <f>IF(OR(B244="",E244=""),"",E244-B244)</f>
        <v/>
      </c>
      <c r="G244">
        <f>IF(B244="","",IF(E244&lt;&gt;"","Paid",IF(TODAY()-B244&gt;'My business'!$B$16,"OVERDUE","Awaiting")))</f>
        <v/>
      </c>
    </row>
    <row r="245">
      <c r="A245" s="2" t="n"/>
      <c r="B245" s="5" t="n"/>
      <c r="C245" s="2" t="n"/>
      <c r="D245" s="15" t="n"/>
      <c r="E245" s="5" t="n"/>
      <c r="F245">
        <f>IF(OR(B245="",E245=""),"",E245-B245)</f>
        <v/>
      </c>
      <c r="G245">
        <f>IF(B245="","",IF(E245&lt;&gt;"","Paid",IF(TODAY()-B245&gt;'My business'!$B$16,"OVERDUE","Awaiting")))</f>
        <v/>
      </c>
    </row>
    <row r="246">
      <c r="A246" s="2" t="n"/>
      <c r="B246" s="5" t="n"/>
      <c r="C246" s="2" t="n"/>
      <c r="D246" s="15" t="n"/>
      <c r="E246" s="5" t="n"/>
      <c r="F246">
        <f>IF(OR(B246="",E246=""),"",E246-B246)</f>
        <v/>
      </c>
      <c r="G246">
        <f>IF(B246="","",IF(E246&lt;&gt;"","Paid",IF(TODAY()-B246&gt;'My business'!$B$16,"OVERDUE","Awaiting")))</f>
        <v/>
      </c>
    </row>
    <row r="247">
      <c r="A247" s="2" t="n"/>
      <c r="B247" s="5" t="n"/>
      <c r="C247" s="2" t="n"/>
      <c r="D247" s="15" t="n"/>
      <c r="E247" s="5" t="n"/>
      <c r="F247">
        <f>IF(OR(B247="",E247=""),"",E247-B247)</f>
        <v/>
      </c>
      <c r="G247">
        <f>IF(B247="","",IF(E247&lt;&gt;"","Paid",IF(TODAY()-B247&gt;'My business'!$B$16,"OVERDUE","Awaiting")))</f>
        <v/>
      </c>
    </row>
    <row r="248">
      <c r="A248" s="2" t="n"/>
      <c r="B248" s="5" t="n"/>
      <c r="C248" s="2" t="n"/>
      <c r="D248" s="15" t="n"/>
      <c r="E248" s="5" t="n"/>
      <c r="F248">
        <f>IF(OR(B248="",E248=""),"",E248-B248)</f>
        <v/>
      </c>
      <c r="G248">
        <f>IF(B248="","",IF(E248&lt;&gt;"","Paid",IF(TODAY()-B248&gt;'My business'!$B$16,"OVERDUE","Awaiting")))</f>
        <v/>
      </c>
    </row>
    <row r="249">
      <c r="A249" s="2" t="n"/>
      <c r="B249" s="5" t="n"/>
      <c r="C249" s="2" t="n"/>
      <c r="D249" s="15" t="n"/>
      <c r="E249" s="5" t="n"/>
      <c r="F249">
        <f>IF(OR(B249="",E249=""),"",E249-B249)</f>
        <v/>
      </c>
      <c r="G249">
        <f>IF(B249="","",IF(E249&lt;&gt;"","Paid",IF(TODAY()-B249&gt;'My business'!$B$16,"OVERDUE","Awaiting")))</f>
        <v/>
      </c>
    </row>
    <row r="250">
      <c r="A250" s="2" t="n"/>
      <c r="B250" s="5" t="n"/>
      <c r="C250" s="2" t="n"/>
      <c r="D250" s="15" t="n"/>
      <c r="E250" s="5" t="n"/>
      <c r="F250">
        <f>IF(OR(B250="",E250=""),"",E250-B250)</f>
        <v/>
      </c>
      <c r="G250">
        <f>IF(B250="","",IF(E250&lt;&gt;"","Paid",IF(TODAY()-B250&gt;'My business'!$B$16,"OVERDUE","Awaiting")))</f>
        <v/>
      </c>
    </row>
    <row r="251">
      <c r="A251" s="2" t="n"/>
      <c r="B251" s="5" t="n"/>
      <c r="C251" s="2" t="n"/>
      <c r="D251" s="15" t="n"/>
      <c r="E251" s="5" t="n"/>
      <c r="F251">
        <f>IF(OR(B251="",E251=""),"",E251-B251)</f>
        <v/>
      </c>
      <c r="G251">
        <f>IF(B251="","",IF(E251&lt;&gt;"","Paid",IF(TODAY()-B251&gt;'My business'!$B$16,"OVERDUE","Awaiting")))</f>
        <v/>
      </c>
    </row>
    <row r="252">
      <c r="A252" s="2" t="n"/>
      <c r="B252" s="5" t="n"/>
      <c r="C252" s="2" t="n"/>
      <c r="D252" s="15" t="n"/>
      <c r="E252" s="5" t="n"/>
      <c r="F252">
        <f>IF(OR(B252="",E252=""),"",E252-B252)</f>
        <v/>
      </c>
      <c r="G252">
        <f>IF(B252="","",IF(E252&lt;&gt;"","Paid",IF(TODAY()-B252&gt;'My business'!$B$16,"OVERDUE","Awaiting")))</f>
        <v/>
      </c>
    </row>
    <row r="253">
      <c r="A253" s="2" t="n"/>
      <c r="B253" s="5" t="n"/>
      <c r="C253" s="2" t="n"/>
      <c r="D253" s="15" t="n"/>
      <c r="E253" s="5" t="n"/>
      <c r="F253">
        <f>IF(OR(B253="",E253=""),"",E253-B253)</f>
        <v/>
      </c>
      <c r="G253">
        <f>IF(B253="","",IF(E253&lt;&gt;"","Paid",IF(TODAY()-B253&gt;'My business'!$B$16,"OVERDUE","Awaiting")))</f>
        <v/>
      </c>
    </row>
    <row r="254">
      <c r="A254" s="2" t="n"/>
      <c r="B254" s="5" t="n"/>
      <c r="C254" s="2" t="n"/>
      <c r="D254" s="15" t="n"/>
      <c r="E254" s="5" t="n"/>
      <c r="F254">
        <f>IF(OR(B254="",E254=""),"",E254-B254)</f>
        <v/>
      </c>
      <c r="G254">
        <f>IF(B254="","",IF(E254&lt;&gt;"","Paid",IF(TODAY()-B254&gt;'My business'!$B$16,"OVERDUE","Awaiting")))</f>
        <v/>
      </c>
    </row>
    <row r="255">
      <c r="A255" s="2" t="n"/>
      <c r="B255" s="5" t="n"/>
      <c r="C255" s="2" t="n"/>
      <c r="D255" s="15" t="n"/>
      <c r="E255" s="5" t="n"/>
      <c r="F255">
        <f>IF(OR(B255="",E255=""),"",E255-B255)</f>
        <v/>
      </c>
      <c r="G255">
        <f>IF(B255="","",IF(E255&lt;&gt;"","Paid",IF(TODAY()-B255&gt;'My business'!$B$16,"OVERDUE","Awaiting")))</f>
        <v/>
      </c>
    </row>
    <row r="256">
      <c r="A256" s="2" t="n"/>
      <c r="B256" s="5" t="n"/>
      <c r="C256" s="2" t="n"/>
      <c r="D256" s="15" t="n"/>
      <c r="E256" s="5" t="n"/>
      <c r="F256">
        <f>IF(OR(B256="",E256=""),"",E256-B256)</f>
        <v/>
      </c>
      <c r="G256">
        <f>IF(B256="","",IF(E256&lt;&gt;"","Paid",IF(TODAY()-B256&gt;'My business'!$B$16,"OVERDUE","Awaiting")))</f>
        <v/>
      </c>
    </row>
    <row r="257">
      <c r="A257" s="2" t="n"/>
      <c r="B257" s="5" t="n"/>
      <c r="C257" s="2" t="n"/>
      <c r="D257" s="15" t="n"/>
      <c r="E257" s="5" t="n"/>
      <c r="F257">
        <f>IF(OR(B257="",E257=""),"",E257-B257)</f>
        <v/>
      </c>
      <c r="G257">
        <f>IF(B257="","",IF(E257&lt;&gt;"","Paid",IF(TODAY()-B257&gt;'My business'!$B$16,"OVERDUE","Awaiting")))</f>
        <v/>
      </c>
    </row>
    <row r="258">
      <c r="A258" s="2" t="n"/>
      <c r="B258" s="5" t="n"/>
      <c r="C258" s="2" t="n"/>
      <c r="D258" s="15" t="n"/>
      <c r="E258" s="5" t="n"/>
      <c r="F258">
        <f>IF(OR(B258="",E258=""),"",E258-B258)</f>
        <v/>
      </c>
      <c r="G258">
        <f>IF(B258="","",IF(E258&lt;&gt;"","Paid",IF(TODAY()-B258&gt;'My business'!$B$16,"OVERDUE","Awaiting")))</f>
        <v/>
      </c>
    </row>
    <row r="259">
      <c r="A259" s="2" t="n"/>
      <c r="B259" s="5" t="n"/>
      <c r="C259" s="2" t="n"/>
      <c r="D259" s="15" t="n"/>
      <c r="E259" s="5" t="n"/>
      <c r="F259">
        <f>IF(OR(B259="",E259=""),"",E259-B259)</f>
        <v/>
      </c>
      <c r="G259">
        <f>IF(B259="","",IF(E259&lt;&gt;"","Paid",IF(TODAY()-B259&gt;'My business'!$B$16,"OVERDUE","Awaiting")))</f>
        <v/>
      </c>
    </row>
    <row r="260">
      <c r="A260" s="2" t="n"/>
      <c r="B260" s="5" t="n"/>
      <c r="C260" s="2" t="n"/>
      <c r="D260" s="15" t="n"/>
      <c r="E260" s="5" t="n"/>
      <c r="F260">
        <f>IF(OR(B260="",E260=""),"",E260-B260)</f>
        <v/>
      </c>
      <c r="G260">
        <f>IF(B260="","",IF(E260&lt;&gt;"","Paid",IF(TODAY()-B260&gt;'My business'!$B$16,"OVERDUE","Awaiting")))</f>
        <v/>
      </c>
    </row>
    <row r="261">
      <c r="A261" s="2" t="n"/>
      <c r="B261" s="5" t="n"/>
      <c r="C261" s="2" t="n"/>
      <c r="D261" s="15" t="n"/>
      <c r="E261" s="5" t="n"/>
      <c r="F261">
        <f>IF(OR(B261="",E261=""),"",E261-B261)</f>
        <v/>
      </c>
      <c r="G261">
        <f>IF(B261="","",IF(E261&lt;&gt;"","Paid",IF(TODAY()-B261&gt;'My business'!$B$16,"OVERDUE","Awaiting")))</f>
        <v/>
      </c>
    </row>
    <row r="262">
      <c r="A262" s="2" t="n"/>
      <c r="B262" s="5" t="n"/>
      <c r="C262" s="2" t="n"/>
      <c r="D262" s="15" t="n"/>
      <c r="E262" s="5" t="n"/>
      <c r="F262">
        <f>IF(OR(B262="",E262=""),"",E262-B262)</f>
        <v/>
      </c>
      <c r="G262">
        <f>IF(B262="","",IF(E262&lt;&gt;"","Paid",IF(TODAY()-B262&gt;'My business'!$B$16,"OVERDUE","Awaiting")))</f>
        <v/>
      </c>
    </row>
    <row r="263">
      <c r="A263" s="2" t="n"/>
      <c r="B263" s="5" t="n"/>
      <c r="C263" s="2" t="n"/>
      <c r="D263" s="15" t="n"/>
      <c r="E263" s="5" t="n"/>
      <c r="F263">
        <f>IF(OR(B263="",E263=""),"",E263-B263)</f>
        <v/>
      </c>
      <c r="G263">
        <f>IF(B263="","",IF(E263&lt;&gt;"","Paid",IF(TODAY()-B263&gt;'My business'!$B$16,"OVERDUE","Awaiting")))</f>
        <v/>
      </c>
    </row>
    <row r="264">
      <c r="A264" s="2" t="n"/>
      <c r="B264" s="5" t="n"/>
      <c r="C264" s="2" t="n"/>
      <c r="D264" s="15" t="n"/>
      <c r="E264" s="5" t="n"/>
      <c r="F264">
        <f>IF(OR(B264="",E264=""),"",E264-B264)</f>
        <v/>
      </c>
      <c r="G264">
        <f>IF(B264="","",IF(E264&lt;&gt;"","Paid",IF(TODAY()-B264&gt;'My business'!$B$16,"OVERDUE","Awaiting")))</f>
        <v/>
      </c>
    </row>
    <row r="265">
      <c r="A265" s="2" t="n"/>
      <c r="B265" s="5" t="n"/>
      <c r="C265" s="2" t="n"/>
      <c r="D265" s="15" t="n"/>
      <c r="E265" s="5" t="n"/>
      <c r="F265">
        <f>IF(OR(B265="",E265=""),"",E265-B265)</f>
        <v/>
      </c>
      <c r="G265">
        <f>IF(B265="","",IF(E265&lt;&gt;"","Paid",IF(TODAY()-B265&gt;'My business'!$B$16,"OVERDUE","Awaiting")))</f>
        <v/>
      </c>
    </row>
    <row r="266">
      <c r="A266" s="2" t="n"/>
      <c r="B266" s="5" t="n"/>
      <c r="C266" s="2" t="n"/>
      <c r="D266" s="15" t="n"/>
      <c r="E266" s="5" t="n"/>
      <c r="F266">
        <f>IF(OR(B266="",E266=""),"",E266-B266)</f>
        <v/>
      </c>
      <c r="G266">
        <f>IF(B266="","",IF(E266&lt;&gt;"","Paid",IF(TODAY()-B266&gt;'My business'!$B$16,"OVERDUE","Awaiting")))</f>
        <v/>
      </c>
    </row>
    <row r="267">
      <c r="A267" s="2" t="n"/>
      <c r="B267" s="5" t="n"/>
      <c r="C267" s="2" t="n"/>
      <c r="D267" s="15" t="n"/>
      <c r="E267" s="5" t="n"/>
      <c r="F267">
        <f>IF(OR(B267="",E267=""),"",E267-B267)</f>
        <v/>
      </c>
      <c r="G267">
        <f>IF(B267="","",IF(E267&lt;&gt;"","Paid",IF(TODAY()-B267&gt;'My business'!$B$16,"OVERDUE","Awaiting")))</f>
        <v/>
      </c>
    </row>
    <row r="268">
      <c r="A268" s="2" t="n"/>
      <c r="B268" s="5" t="n"/>
      <c r="C268" s="2" t="n"/>
      <c r="D268" s="15" t="n"/>
      <c r="E268" s="5" t="n"/>
      <c r="F268">
        <f>IF(OR(B268="",E268=""),"",E268-B268)</f>
        <v/>
      </c>
      <c r="G268">
        <f>IF(B268="","",IF(E268&lt;&gt;"","Paid",IF(TODAY()-B268&gt;'My business'!$B$16,"OVERDUE","Awaiting")))</f>
        <v/>
      </c>
    </row>
    <row r="269">
      <c r="A269" s="2" t="n"/>
      <c r="B269" s="5" t="n"/>
      <c r="C269" s="2" t="n"/>
      <c r="D269" s="15" t="n"/>
      <c r="E269" s="5" t="n"/>
      <c r="F269">
        <f>IF(OR(B269="",E269=""),"",E269-B269)</f>
        <v/>
      </c>
      <c r="G269">
        <f>IF(B269="","",IF(E269&lt;&gt;"","Paid",IF(TODAY()-B269&gt;'My business'!$B$16,"OVERDUE","Awaiting")))</f>
        <v/>
      </c>
    </row>
    <row r="270">
      <c r="A270" s="2" t="n"/>
      <c r="B270" s="5" t="n"/>
      <c r="C270" s="2" t="n"/>
      <c r="D270" s="15" t="n"/>
      <c r="E270" s="5" t="n"/>
      <c r="F270">
        <f>IF(OR(B270="",E270=""),"",E270-B270)</f>
        <v/>
      </c>
      <c r="G270">
        <f>IF(B270="","",IF(E270&lt;&gt;"","Paid",IF(TODAY()-B270&gt;'My business'!$B$16,"OVERDUE","Awaiting")))</f>
        <v/>
      </c>
    </row>
    <row r="271">
      <c r="A271" s="2" t="n"/>
      <c r="B271" s="5" t="n"/>
      <c r="C271" s="2" t="n"/>
      <c r="D271" s="15" t="n"/>
      <c r="E271" s="5" t="n"/>
      <c r="F271">
        <f>IF(OR(B271="",E271=""),"",E271-B271)</f>
        <v/>
      </c>
      <c r="G271">
        <f>IF(B271="","",IF(E271&lt;&gt;"","Paid",IF(TODAY()-B271&gt;'My business'!$B$16,"OVERDUE","Awaiting")))</f>
        <v/>
      </c>
    </row>
    <row r="272">
      <c r="A272" s="2" t="n"/>
      <c r="B272" s="5" t="n"/>
      <c r="C272" s="2" t="n"/>
      <c r="D272" s="15" t="n"/>
      <c r="E272" s="5" t="n"/>
      <c r="F272">
        <f>IF(OR(B272="",E272=""),"",E272-B272)</f>
        <v/>
      </c>
      <c r="G272">
        <f>IF(B272="","",IF(E272&lt;&gt;"","Paid",IF(TODAY()-B272&gt;'My business'!$B$16,"OVERDUE","Awaiting")))</f>
        <v/>
      </c>
    </row>
    <row r="273">
      <c r="A273" s="2" t="n"/>
      <c r="B273" s="5" t="n"/>
      <c r="C273" s="2" t="n"/>
      <c r="D273" s="15" t="n"/>
      <c r="E273" s="5" t="n"/>
      <c r="F273">
        <f>IF(OR(B273="",E273=""),"",E273-B273)</f>
        <v/>
      </c>
      <c r="G273">
        <f>IF(B273="","",IF(E273&lt;&gt;"","Paid",IF(TODAY()-B273&gt;'My business'!$B$16,"OVERDUE","Awaiting")))</f>
        <v/>
      </c>
    </row>
    <row r="274">
      <c r="A274" s="2" t="n"/>
      <c r="B274" s="5" t="n"/>
      <c r="C274" s="2" t="n"/>
      <c r="D274" s="15" t="n"/>
      <c r="E274" s="5" t="n"/>
      <c r="F274">
        <f>IF(OR(B274="",E274=""),"",E274-B274)</f>
        <v/>
      </c>
      <c r="G274">
        <f>IF(B274="","",IF(E274&lt;&gt;"","Paid",IF(TODAY()-B274&gt;'My business'!$B$16,"OVERDUE","Awaiting")))</f>
        <v/>
      </c>
    </row>
    <row r="275">
      <c r="A275" s="2" t="n"/>
      <c r="B275" s="5" t="n"/>
      <c r="C275" s="2" t="n"/>
      <c r="D275" s="15" t="n"/>
      <c r="E275" s="5" t="n"/>
      <c r="F275">
        <f>IF(OR(B275="",E275=""),"",E275-B275)</f>
        <v/>
      </c>
      <c r="G275">
        <f>IF(B275="","",IF(E275&lt;&gt;"","Paid",IF(TODAY()-B275&gt;'My business'!$B$16,"OVERDUE","Awaiting")))</f>
        <v/>
      </c>
    </row>
    <row r="276">
      <c r="A276" s="2" t="n"/>
      <c r="B276" s="5" t="n"/>
      <c r="C276" s="2" t="n"/>
      <c r="D276" s="15" t="n"/>
      <c r="E276" s="5" t="n"/>
      <c r="F276">
        <f>IF(OR(B276="",E276=""),"",E276-B276)</f>
        <v/>
      </c>
      <c r="G276">
        <f>IF(B276="","",IF(E276&lt;&gt;"","Paid",IF(TODAY()-B276&gt;'My business'!$B$16,"OVERDUE","Awaiting")))</f>
        <v/>
      </c>
    </row>
    <row r="277">
      <c r="A277" s="2" t="n"/>
      <c r="B277" s="5" t="n"/>
      <c r="C277" s="2" t="n"/>
      <c r="D277" s="15" t="n"/>
      <c r="E277" s="5" t="n"/>
      <c r="F277">
        <f>IF(OR(B277="",E277=""),"",E277-B277)</f>
        <v/>
      </c>
      <c r="G277">
        <f>IF(B277="","",IF(E277&lt;&gt;"","Paid",IF(TODAY()-B277&gt;'My business'!$B$16,"OVERDUE","Awaiting")))</f>
        <v/>
      </c>
    </row>
    <row r="278">
      <c r="A278" s="2" t="n"/>
      <c r="B278" s="5" t="n"/>
      <c r="C278" s="2" t="n"/>
      <c r="D278" s="15" t="n"/>
      <c r="E278" s="5" t="n"/>
      <c r="F278">
        <f>IF(OR(B278="",E278=""),"",E278-B278)</f>
        <v/>
      </c>
      <c r="G278">
        <f>IF(B278="","",IF(E278&lt;&gt;"","Paid",IF(TODAY()-B278&gt;'My business'!$B$16,"OVERDUE","Awaiting")))</f>
        <v/>
      </c>
    </row>
    <row r="279">
      <c r="A279" s="2" t="n"/>
      <c r="B279" s="5" t="n"/>
      <c r="C279" s="2" t="n"/>
      <c r="D279" s="15" t="n"/>
      <c r="E279" s="5" t="n"/>
      <c r="F279">
        <f>IF(OR(B279="",E279=""),"",E279-B279)</f>
        <v/>
      </c>
      <c r="G279">
        <f>IF(B279="","",IF(E279&lt;&gt;"","Paid",IF(TODAY()-B279&gt;'My business'!$B$16,"OVERDUE","Awaiting")))</f>
        <v/>
      </c>
    </row>
    <row r="280">
      <c r="A280" s="2" t="n"/>
      <c r="B280" s="5" t="n"/>
      <c r="C280" s="2" t="n"/>
      <c r="D280" s="15" t="n"/>
      <c r="E280" s="5" t="n"/>
      <c r="F280">
        <f>IF(OR(B280="",E280=""),"",E280-B280)</f>
        <v/>
      </c>
      <c r="G280">
        <f>IF(B280="","",IF(E280&lt;&gt;"","Paid",IF(TODAY()-B280&gt;'My business'!$B$16,"OVERDUE","Awaiting")))</f>
        <v/>
      </c>
    </row>
    <row r="281">
      <c r="A281" s="2" t="n"/>
      <c r="B281" s="5" t="n"/>
      <c r="C281" s="2" t="n"/>
      <c r="D281" s="15" t="n"/>
      <c r="E281" s="5" t="n"/>
      <c r="F281">
        <f>IF(OR(B281="",E281=""),"",E281-B281)</f>
        <v/>
      </c>
      <c r="G281">
        <f>IF(B281="","",IF(E281&lt;&gt;"","Paid",IF(TODAY()-B281&gt;'My business'!$B$16,"OVERDUE","Awaiting")))</f>
        <v/>
      </c>
    </row>
    <row r="282">
      <c r="A282" s="2" t="n"/>
      <c r="B282" s="5" t="n"/>
      <c r="C282" s="2" t="n"/>
      <c r="D282" s="15" t="n"/>
      <c r="E282" s="5" t="n"/>
      <c r="F282">
        <f>IF(OR(B282="",E282=""),"",E282-B282)</f>
        <v/>
      </c>
      <c r="G282">
        <f>IF(B282="","",IF(E282&lt;&gt;"","Paid",IF(TODAY()-B282&gt;'My business'!$B$16,"OVERDUE","Awaiting")))</f>
        <v/>
      </c>
    </row>
    <row r="283">
      <c r="A283" s="2" t="n"/>
      <c r="B283" s="5" t="n"/>
      <c r="C283" s="2" t="n"/>
      <c r="D283" s="15" t="n"/>
      <c r="E283" s="5" t="n"/>
      <c r="F283">
        <f>IF(OR(B283="",E283=""),"",E283-B283)</f>
        <v/>
      </c>
      <c r="G283">
        <f>IF(B283="","",IF(E283&lt;&gt;"","Paid",IF(TODAY()-B283&gt;'My business'!$B$16,"OVERDUE","Awaiting")))</f>
        <v/>
      </c>
    </row>
    <row r="284">
      <c r="A284" s="2" t="n"/>
      <c r="B284" s="5" t="n"/>
      <c r="C284" s="2" t="n"/>
      <c r="D284" s="15" t="n"/>
      <c r="E284" s="5" t="n"/>
      <c r="F284">
        <f>IF(OR(B284="",E284=""),"",E284-B284)</f>
        <v/>
      </c>
      <c r="G284">
        <f>IF(B284="","",IF(E284&lt;&gt;"","Paid",IF(TODAY()-B284&gt;'My business'!$B$16,"OVERDUE","Awaiting")))</f>
        <v/>
      </c>
    </row>
    <row r="285">
      <c r="A285" s="2" t="n"/>
      <c r="B285" s="5" t="n"/>
      <c r="C285" s="2" t="n"/>
      <c r="D285" s="15" t="n"/>
      <c r="E285" s="5" t="n"/>
      <c r="F285">
        <f>IF(OR(B285="",E285=""),"",E285-B285)</f>
        <v/>
      </c>
      <c r="G285">
        <f>IF(B285="","",IF(E285&lt;&gt;"","Paid",IF(TODAY()-B285&gt;'My business'!$B$16,"OVERDUE","Awaiting")))</f>
        <v/>
      </c>
    </row>
    <row r="286">
      <c r="A286" s="2" t="n"/>
      <c r="B286" s="5" t="n"/>
      <c r="C286" s="2" t="n"/>
      <c r="D286" s="15" t="n"/>
      <c r="E286" s="5" t="n"/>
      <c r="F286">
        <f>IF(OR(B286="",E286=""),"",E286-B286)</f>
        <v/>
      </c>
      <c r="G286">
        <f>IF(B286="","",IF(E286&lt;&gt;"","Paid",IF(TODAY()-B286&gt;'My business'!$B$16,"OVERDUE","Awaiting")))</f>
        <v/>
      </c>
    </row>
    <row r="287">
      <c r="A287" s="2" t="n"/>
      <c r="B287" s="5" t="n"/>
      <c r="C287" s="2" t="n"/>
      <c r="D287" s="15" t="n"/>
      <c r="E287" s="5" t="n"/>
      <c r="F287">
        <f>IF(OR(B287="",E287=""),"",E287-B287)</f>
        <v/>
      </c>
      <c r="G287">
        <f>IF(B287="","",IF(E287&lt;&gt;"","Paid",IF(TODAY()-B287&gt;'My business'!$B$16,"OVERDUE","Awaiting")))</f>
        <v/>
      </c>
    </row>
    <row r="288">
      <c r="A288" s="2" t="n"/>
      <c r="B288" s="5" t="n"/>
      <c r="C288" s="2" t="n"/>
      <c r="D288" s="15" t="n"/>
      <c r="E288" s="5" t="n"/>
      <c r="F288">
        <f>IF(OR(B288="",E288=""),"",E288-B288)</f>
        <v/>
      </c>
      <c r="G288">
        <f>IF(B288="","",IF(E288&lt;&gt;"","Paid",IF(TODAY()-B288&gt;'My business'!$B$16,"OVERDUE","Awaiting")))</f>
        <v/>
      </c>
    </row>
    <row r="289">
      <c r="A289" s="2" t="n"/>
      <c r="B289" s="5" t="n"/>
      <c r="C289" s="2" t="n"/>
      <c r="D289" s="15" t="n"/>
      <c r="E289" s="5" t="n"/>
      <c r="F289">
        <f>IF(OR(B289="",E289=""),"",E289-B289)</f>
        <v/>
      </c>
      <c r="G289">
        <f>IF(B289="","",IF(E289&lt;&gt;"","Paid",IF(TODAY()-B289&gt;'My business'!$B$16,"OVERDUE","Awaiting")))</f>
        <v/>
      </c>
    </row>
    <row r="290">
      <c r="A290" s="2" t="n"/>
      <c r="B290" s="5" t="n"/>
      <c r="C290" s="2" t="n"/>
      <c r="D290" s="15" t="n"/>
      <c r="E290" s="5" t="n"/>
      <c r="F290">
        <f>IF(OR(B290="",E290=""),"",E290-B290)</f>
        <v/>
      </c>
      <c r="G290">
        <f>IF(B290="","",IF(E290&lt;&gt;"","Paid",IF(TODAY()-B290&gt;'My business'!$B$16,"OVERDUE","Awaiting")))</f>
        <v/>
      </c>
    </row>
    <row r="291">
      <c r="A291" s="2" t="n"/>
      <c r="B291" s="5" t="n"/>
      <c r="C291" s="2" t="n"/>
      <c r="D291" s="15" t="n"/>
      <c r="E291" s="5" t="n"/>
      <c r="F291">
        <f>IF(OR(B291="",E291=""),"",E291-B291)</f>
        <v/>
      </c>
      <c r="G291">
        <f>IF(B291="","",IF(E291&lt;&gt;"","Paid",IF(TODAY()-B291&gt;'My business'!$B$16,"OVERDUE","Awaiting")))</f>
        <v/>
      </c>
    </row>
    <row r="292">
      <c r="A292" s="2" t="n"/>
      <c r="B292" s="5" t="n"/>
      <c r="C292" s="2" t="n"/>
      <c r="D292" s="15" t="n"/>
      <c r="E292" s="5" t="n"/>
      <c r="F292">
        <f>IF(OR(B292="",E292=""),"",E292-B292)</f>
        <v/>
      </c>
      <c r="G292">
        <f>IF(B292="","",IF(E292&lt;&gt;"","Paid",IF(TODAY()-B292&gt;'My business'!$B$16,"OVERDUE","Awaiting")))</f>
        <v/>
      </c>
    </row>
    <row r="293">
      <c r="A293" s="2" t="n"/>
      <c r="B293" s="5" t="n"/>
      <c r="C293" s="2" t="n"/>
      <c r="D293" s="15" t="n"/>
      <c r="E293" s="5" t="n"/>
      <c r="F293">
        <f>IF(OR(B293="",E293=""),"",E293-B293)</f>
        <v/>
      </c>
      <c r="G293">
        <f>IF(B293="","",IF(E293&lt;&gt;"","Paid",IF(TODAY()-B293&gt;'My business'!$B$16,"OVERDUE","Awaiting")))</f>
        <v/>
      </c>
    </row>
    <row r="294">
      <c r="A294" s="2" t="n"/>
      <c r="B294" s="5" t="n"/>
      <c r="C294" s="2" t="n"/>
      <c r="D294" s="15" t="n"/>
      <c r="E294" s="5" t="n"/>
      <c r="F294">
        <f>IF(OR(B294="",E294=""),"",E294-B294)</f>
        <v/>
      </c>
      <c r="G294">
        <f>IF(B294="","",IF(E294&lt;&gt;"","Paid",IF(TODAY()-B294&gt;'My business'!$B$16,"OVERDUE","Awaiting")))</f>
        <v/>
      </c>
    </row>
    <row r="295">
      <c r="A295" s="2" t="n"/>
      <c r="B295" s="5" t="n"/>
      <c r="C295" s="2" t="n"/>
      <c r="D295" s="15" t="n"/>
      <c r="E295" s="5" t="n"/>
      <c r="F295">
        <f>IF(OR(B295="",E295=""),"",E295-B295)</f>
        <v/>
      </c>
      <c r="G295">
        <f>IF(B295="","",IF(E295&lt;&gt;"","Paid",IF(TODAY()-B295&gt;'My business'!$B$16,"OVERDUE","Awaiting")))</f>
        <v/>
      </c>
    </row>
    <row r="296">
      <c r="A296" s="2" t="n"/>
      <c r="B296" s="5" t="n"/>
      <c r="C296" s="2" t="n"/>
      <c r="D296" s="15" t="n"/>
      <c r="E296" s="5" t="n"/>
      <c r="F296">
        <f>IF(OR(B296="",E296=""),"",E296-B296)</f>
        <v/>
      </c>
      <c r="G296">
        <f>IF(B296="","",IF(E296&lt;&gt;"","Paid",IF(TODAY()-B296&gt;'My business'!$B$16,"OVERDUE","Awaiting")))</f>
        <v/>
      </c>
    </row>
    <row r="297">
      <c r="A297" s="2" t="n"/>
      <c r="B297" s="5" t="n"/>
      <c r="C297" s="2" t="n"/>
      <c r="D297" s="15" t="n"/>
      <c r="E297" s="5" t="n"/>
      <c r="F297">
        <f>IF(OR(B297="",E297=""),"",E297-B297)</f>
        <v/>
      </c>
      <c r="G297">
        <f>IF(B297="","",IF(E297&lt;&gt;"","Paid",IF(TODAY()-B297&gt;'My business'!$B$16,"OVERDUE","Awaiting")))</f>
        <v/>
      </c>
    </row>
    <row r="298">
      <c r="A298" s="2" t="n"/>
      <c r="B298" s="5" t="n"/>
      <c r="C298" s="2" t="n"/>
      <c r="D298" s="15" t="n"/>
      <c r="E298" s="5" t="n"/>
      <c r="F298">
        <f>IF(OR(B298="",E298=""),"",E298-B298)</f>
        <v/>
      </c>
      <c r="G298">
        <f>IF(B298="","",IF(E298&lt;&gt;"","Paid",IF(TODAY()-B298&gt;'My business'!$B$16,"OVERDUE","Awaiting")))</f>
        <v/>
      </c>
    </row>
    <row r="299">
      <c r="A299" s="2" t="n"/>
      <c r="B299" s="5" t="n"/>
      <c r="C299" s="2" t="n"/>
      <c r="D299" s="15" t="n"/>
      <c r="E299" s="5" t="n"/>
      <c r="F299">
        <f>IF(OR(B299="",E299=""),"",E299-B299)</f>
        <v/>
      </c>
      <c r="G299">
        <f>IF(B299="","",IF(E299&lt;&gt;"","Paid",IF(TODAY()-B299&gt;'My business'!$B$16,"OVERDUE","Awaiting")))</f>
        <v/>
      </c>
    </row>
    <row r="300">
      <c r="A300" s="2" t="n"/>
      <c r="B300" s="5" t="n"/>
      <c r="C300" s="2" t="n"/>
      <c r="D300" s="15" t="n"/>
      <c r="E300" s="5" t="n"/>
      <c r="F300">
        <f>IF(OR(B300="",E300=""),"",E300-B300)</f>
        <v/>
      </c>
      <c r="G300">
        <f>IF(B300="","",IF(E300&lt;&gt;"","Paid",IF(TODAY()-B300&gt;'My business'!$B$16,"OVERDUE","Awaiting")))</f>
        <v/>
      </c>
    </row>
    <row r="301">
      <c r="A301" s="2" t="n"/>
      <c r="B301" s="5" t="n"/>
      <c r="C301" s="2" t="n"/>
      <c r="D301" s="15" t="n"/>
      <c r="E301" s="5" t="n"/>
      <c r="F301">
        <f>IF(OR(B301="",E301=""),"",E301-B301)</f>
        <v/>
      </c>
      <c r="G301">
        <f>IF(B301="","",IF(E301&lt;&gt;"","Paid",IF(TODAY()-B301&gt;'My business'!$B$16,"OVERDUE","Awaiting")))</f>
        <v/>
      </c>
    </row>
    <row r="302">
      <c r="A302" s="2" t="n"/>
      <c r="B302" s="5" t="n"/>
      <c r="C302" s="2" t="n"/>
      <c r="D302" s="15" t="n"/>
      <c r="E302" s="5" t="n"/>
      <c r="F302">
        <f>IF(OR(B302="",E302=""),"",E302-B302)</f>
        <v/>
      </c>
      <c r="G302">
        <f>IF(B302="","",IF(E302&lt;&gt;"","Paid",IF(TODAY()-B302&gt;'My business'!$B$16,"OVERDUE","Awaiting")))</f>
        <v/>
      </c>
    </row>
    <row r="303">
      <c r="A303" s="2" t="n"/>
      <c r="B303" s="5" t="n"/>
      <c r="C303" s="2" t="n"/>
      <c r="D303" s="15" t="n"/>
      <c r="E303" s="5" t="n"/>
      <c r="F303">
        <f>IF(OR(B303="",E303=""),"",E303-B303)</f>
        <v/>
      </c>
      <c r="G303">
        <f>IF(B303="","",IF(E303&lt;&gt;"","Paid",IF(TODAY()-B303&gt;'My business'!$B$16,"OVERDUE","Awaiting")))</f>
        <v/>
      </c>
    </row>
    <row r="304">
      <c r="A304" s="2" t="n"/>
      <c r="B304" s="5" t="n"/>
      <c r="C304" s="2" t="n"/>
      <c r="D304" s="15" t="n"/>
      <c r="E304" s="5" t="n"/>
      <c r="F304">
        <f>IF(OR(B304="",E304=""),"",E304-B304)</f>
        <v/>
      </c>
      <c r="G304">
        <f>IF(B304="","",IF(E304&lt;&gt;"","Paid",IF(TODAY()-B304&gt;'My business'!$B$16,"OVERDUE","Awaiting")))</f>
        <v/>
      </c>
    </row>
    <row r="305">
      <c r="A305" s="2" t="n"/>
      <c r="B305" s="5" t="n"/>
      <c r="C305" s="2" t="n"/>
      <c r="D305" s="15" t="n"/>
      <c r="E305" s="5" t="n"/>
      <c r="F305">
        <f>IF(OR(B305="",E305=""),"",E305-B305)</f>
        <v/>
      </c>
      <c r="G305">
        <f>IF(B305="","",IF(E305&lt;&gt;"","Paid",IF(TODAY()-B305&gt;'My business'!$B$16,"OVERDUE","Awaiting")))</f>
        <v/>
      </c>
    </row>
    <row r="306">
      <c r="A306" s="2" t="n"/>
      <c r="B306" s="5" t="n"/>
      <c r="C306" s="2" t="n"/>
      <c r="D306" s="15" t="n"/>
      <c r="E306" s="5" t="n"/>
      <c r="F306">
        <f>IF(OR(B306="",E306=""),"",E306-B306)</f>
        <v/>
      </c>
      <c r="G306">
        <f>IF(B306="","",IF(E306&lt;&gt;"","Paid",IF(TODAY()-B306&gt;'My business'!$B$16,"OVERDUE","Awaiting")))</f>
        <v/>
      </c>
    </row>
    <row r="307">
      <c r="A307" s="2" t="n"/>
      <c r="B307" s="5" t="n"/>
      <c r="C307" s="2" t="n"/>
      <c r="D307" s="15" t="n"/>
      <c r="E307" s="5" t="n"/>
      <c r="F307">
        <f>IF(OR(B307="",E307=""),"",E307-B307)</f>
        <v/>
      </c>
      <c r="G307">
        <f>IF(B307="","",IF(E307&lt;&gt;"","Paid",IF(TODAY()-B307&gt;'My business'!$B$16,"OVERDUE","Awaiting")))</f>
        <v/>
      </c>
    </row>
    <row r="308">
      <c r="A308" s="2" t="n"/>
      <c r="B308" s="5" t="n"/>
      <c r="C308" s="2" t="n"/>
      <c r="D308" s="15" t="n"/>
      <c r="E308" s="5" t="n"/>
      <c r="F308">
        <f>IF(OR(B308="",E308=""),"",E308-B308)</f>
        <v/>
      </c>
      <c r="G308">
        <f>IF(B308="","",IF(E308&lt;&gt;"","Paid",IF(TODAY()-B308&gt;'My business'!$B$16,"OVERDUE","Awaiting")))</f>
        <v/>
      </c>
    </row>
    <row r="309">
      <c r="A309" s="2" t="n"/>
      <c r="B309" s="5" t="n"/>
      <c r="C309" s="2" t="n"/>
      <c r="D309" s="15" t="n"/>
      <c r="E309" s="5" t="n"/>
      <c r="F309">
        <f>IF(OR(B309="",E309=""),"",E309-B309)</f>
        <v/>
      </c>
      <c r="G309">
        <f>IF(B309="","",IF(E309&lt;&gt;"","Paid",IF(TODAY()-B309&gt;'My business'!$B$16,"OVERDUE","Awaiting")))</f>
        <v/>
      </c>
    </row>
    <row r="310">
      <c r="A310" s="2" t="n"/>
      <c r="B310" s="5" t="n"/>
      <c r="C310" s="2" t="n"/>
      <c r="D310" s="15" t="n"/>
      <c r="E310" s="5" t="n"/>
      <c r="F310">
        <f>IF(OR(B310="",E310=""),"",E310-B310)</f>
        <v/>
      </c>
      <c r="G310">
        <f>IF(B310="","",IF(E310&lt;&gt;"","Paid",IF(TODAY()-B310&gt;'My business'!$B$16,"OVERDUE","Awaiting")))</f>
        <v/>
      </c>
    </row>
    <row r="311">
      <c r="A311" s="2" t="n"/>
      <c r="B311" s="5" t="n"/>
      <c r="C311" s="2" t="n"/>
      <c r="D311" s="15" t="n"/>
      <c r="E311" s="5" t="n"/>
      <c r="F311">
        <f>IF(OR(B311="",E311=""),"",E311-B311)</f>
        <v/>
      </c>
      <c r="G311">
        <f>IF(B311="","",IF(E311&lt;&gt;"","Paid",IF(TODAY()-B311&gt;'My business'!$B$16,"OVERDUE","Awaiting")))</f>
        <v/>
      </c>
    </row>
    <row r="312">
      <c r="A312" s="2" t="n"/>
      <c r="B312" s="5" t="n"/>
      <c r="C312" s="2" t="n"/>
      <c r="D312" s="15" t="n"/>
      <c r="E312" s="5" t="n"/>
      <c r="F312">
        <f>IF(OR(B312="",E312=""),"",E312-B312)</f>
        <v/>
      </c>
      <c r="G312">
        <f>IF(B312="","",IF(E312&lt;&gt;"","Paid",IF(TODAY()-B312&gt;'My business'!$B$16,"OVERDUE","Awaiting")))</f>
        <v/>
      </c>
    </row>
    <row r="313">
      <c r="A313" s="2" t="n"/>
      <c r="B313" s="5" t="n"/>
      <c r="C313" s="2" t="n"/>
      <c r="D313" s="15" t="n"/>
      <c r="E313" s="5" t="n"/>
      <c r="F313">
        <f>IF(OR(B313="",E313=""),"",E313-B313)</f>
        <v/>
      </c>
      <c r="G313">
        <f>IF(B313="","",IF(E313&lt;&gt;"","Paid",IF(TODAY()-B313&gt;'My business'!$B$16,"OVERDUE","Awaiting")))</f>
        <v/>
      </c>
    </row>
    <row r="314">
      <c r="A314" s="2" t="n"/>
      <c r="B314" s="5" t="n"/>
      <c r="C314" s="2" t="n"/>
      <c r="D314" s="15" t="n"/>
      <c r="E314" s="5" t="n"/>
      <c r="F314">
        <f>IF(OR(B314="",E314=""),"",E314-B314)</f>
        <v/>
      </c>
      <c r="G314">
        <f>IF(B314="","",IF(E314&lt;&gt;"","Paid",IF(TODAY()-B314&gt;'My business'!$B$16,"OVERDUE","Awaiting")))</f>
        <v/>
      </c>
    </row>
    <row r="315">
      <c r="A315" s="2" t="n"/>
      <c r="B315" s="5" t="n"/>
      <c r="C315" s="2" t="n"/>
      <c r="D315" s="15" t="n"/>
      <c r="E315" s="5" t="n"/>
      <c r="F315">
        <f>IF(OR(B315="",E315=""),"",E315-B315)</f>
        <v/>
      </c>
      <c r="G315">
        <f>IF(B315="","",IF(E315&lt;&gt;"","Paid",IF(TODAY()-B315&gt;'My business'!$B$16,"OVERDUE","Awaiting")))</f>
        <v/>
      </c>
    </row>
    <row r="316">
      <c r="A316" s="2" t="n"/>
      <c r="B316" s="5" t="n"/>
      <c r="C316" s="2" t="n"/>
      <c r="D316" s="15" t="n"/>
      <c r="E316" s="5" t="n"/>
      <c r="F316">
        <f>IF(OR(B316="",E316=""),"",E316-B316)</f>
        <v/>
      </c>
      <c r="G316">
        <f>IF(B316="","",IF(E316&lt;&gt;"","Paid",IF(TODAY()-B316&gt;'My business'!$B$16,"OVERDUE","Awaiting")))</f>
        <v/>
      </c>
    </row>
    <row r="317">
      <c r="A317" s="2" t="n"/>
      <c r="B317" s="5" t="n"/>
      <c r="C317" s="2" t="n"/>
      <c r="D317" s="15" t="n"/>
      <c r="E317" s="5" t="n"/>
      <c r="F317">
        <f>IF(OR(B317="",E317=""),"",E317-B317)</f>
        <v/>
      </c>
      <c r="G317">
        <f>IF(B317="","",IF(E317&lt;&gt;"","Paid",IF(TODAY()-B317&gt;'My business'!$B$16,"OVERDUE","Awaiting")))</f>
        <v/>
      </c>
    </row>
    <row r="318">
      <c r="A318" s="2" t="n"/>
      <c r="B318" s="5" t="n"/>
      <c r="C318" s="2" t="n"/>
      <c r="D318" s="15" t="n"/>
      <c r="E318" s="5" t="n"/>
      <c r="F318">
        <f>IF(OR(B318="",E318=""),"",E318-B318)</f>
        <v/>
      </c>
      <c r="G318">
        <f>IF(B318="","",IF(E318&lt;&gt;"","Paid",IF(TODAY()-B318&gt;'My business'!$B$16,"OVERDUE","Awaiting")))</f>
        <v/>
      </c>
    </row>
    <row r="319">
      <c r="A319" s="2" t="n"/>
      <c r="B319" s="5" t="n"/>
      <c r="C319" s="2" t="n"/>
      <c r="D319" s="15" t="n"/>
      <c r="E319" s="5" t="n"/>
      <c r="F319">
        <f>IF(OR(B319="",E319=""),"",E319-B319)</f>
        <v/>
      </c>
      <c r="G319">
        <f>IF(B319="","",IF(E319&lt;&gt;"","Paid",IF(TODAY()-B319&gt;'My business'!$B$16,"OVERDUE","Awaiting")))</f>
        <v/>
      </c>
    </row>
    <row r="320">
      <c r="A320" s="2" t="n"/>
      <c r="B320" s="5" t="n"/>
      <c r="C320" s="2" t="n"/>
      <c r="D320" s="15" t="n"/>
      <c r="E320" s="5" t="n"/>
      <c r="F320">
        <f>IF(OR(B320="",E320=""),"",E320-B320)</f>
        <v/>
      </c>
      <c r="G320">
        <f>IF(B320="","",IF(E320&lt;&gt;"","Paid",IF(TODAY()-B320&gt;'My business'!$B$16,"OVERDUE","Awaiting")))</f>
        <v/>
      </c>
    </row>
    <row r="321">
      <c r="A321" s="2" t="n"/>
      <c r="B321" s="5" t="n"/>
      <c r="C321" s="2" t="n"/>
      <c r="D321" s="15" t="n"/>
      <c r="E321" s="5" t="n"/>
      <c r="F321">
        <f>IF(OR(B321="",E321=""),"",E321-B321)</f>
        <v/>
      </c>
      <c r="G321">
        <f>IF(B321="","",IF(E321&lt;&gt;"","Paid",IF(TODAY()-B321&gt;'My business'!$B$16,"OVERDUE","Awaiting")))</f>
        <v/>
      </c>
    </row>
    <row r="322">
      <c r="A322" s="2" t="n"/>
      <c r="B322" s="5" t="n"/>
      <c r="C322" s="2" t="n"/>
      <c r="D322" s="15" t="n"/>
      <c r="E322" s="5" t="n"/>
      <c r="F322">
        <f>IF(OR(B322="",E322=""),"",E322-B322)</f>
        <v/>
      </c>
      <c r="G322">
        <f>IF(B322="","",IF(E322&lt;&gt;"","Paid",IF(TODAY()-B322&gt;'My business'!$B$16,"OVERDUE","Awaiting")))</f>
        <v/>
      </c>
    </row>
    <row r="323">
      <c r="A323" s="2" t="n"/>
      <c r="B323" s="5" t="n"/>
      <c r="C323" s="2" t="n"/>
      <c r="D323" s="15" t="n"/>
      <c r="E323" s="5" t="n"/>
      <c r="F323">
        <f>IF(OR(B323="",E323=""),"",E323-B323)</f>
        <v/>
      </c>
      <c r="G323">
        <f>IF(B323="","",IF(E323&lt;&gt;"","Paid",IF(TODAY()-B323&gt;'My business'!$B$16,"OVERDUE","Awaiting")))</f>
        <v/>
      </c>
    </row>
    <row r="324">
      <c r="A324" s="2" t="n"/>
      <c r="B324" s="5" t="n"/>
      <c r="C324" s="2" t="n"/>
      <c r="D324" s="15" t="n"/>
      <c r="E324" s="5" t="n"/>
      <c r="F324">
        <f>IF(OR(B324="",E324=""),"",E324-B324)</f>
        <v/>
      </c>
      <c r="G324">
        <f>IF(B324="","",IF(E324&lt;&gt;"","Paid",IF(TODAY()-B324&gt;'My business'!$B$16,"OVERDUE","Awaiting")))</f>
        <v/>
      </c>
    </row>
    <row r="325">
      <c r="A325" s="2" t="n"/>
      <c r="B325" s="5" t="n"/>
      <c r="C325" s="2" t="n"/>
      <c r="D325" s="15" t="n"/>
      <c r="E325" s="5" t="n"/>
      <c r="F325">
        <f>IF(OR(B325="",E325=""),"",E325-B325)</f>
        <v/>
      </c>
      <c r="G325">
        <f>IF(B325="","",IF(E325&lt;&gt;"","Paid",IF(TODAY()-B325&gt;'My business'!$B$16,"OVERDUE","Awaiting")))</f>
        <v/>
      </c>
    </row>
    <row r="326">
      <c r="A326" s="2" t="n"/>
      <c r="B326" s="5" t="n"/>
      <c r="C326" s="2" t="n"/>
      <c r="D326" s="15" t="n"/>
      <c r="E326" s="5" t="n"/>
      <c r="F326">
        <f>IF(OR(B326="",E326=""),"",E326-B326)</f>
        <v/>
      </c>
      <c r="G326">
        <f>IF(B326="","",IF(E326&lt;&gt;"","Paid",IF(TODAY()-B326&gt;'My business'!$B$16,"OVERDUE","Awaiting")))</f>
        <v/>
      </c>
    </row>
    <row r="327">
      <c r="A327" s="2" t="n"/>
      <c r="B327" s="5" t="n"/>
      <c r="C327" s="2" t="n"/>
      <c r="D327" s="15" t="n"/>
      <c r="E327" s="5" t="n"/>
      <c r="F327">
        <f>IF(OR(B327="",E327=""),"",E327-B327)</f>
        <v/>
      </c>
      <c r="G327">
        <f>IF(B327="","",IF(E327&lt;&gt;"","Paid",IF(TODAY()-B327&gt;'My business'!$B$16,"OVERDUE","Awaiting")))</f>
        <v/>
      </c>
    </row>
    <row r="328">
      <c r="A328" s="2" t="n"/>
      <c r="B328" s="5" t="n"/>
      <c r="C328" s="2" t="n"/>
      <c r="D328" s="15" t="n"/>
      <c r="E328" s="5" t="n"/>
      <c r="F328">
        <f>IF(OR(B328="",E328=""),"",E328-B328)</f>
        <v/>
      </c>
      <c r="G328">
        <f>IF(B328="","",IF(E328&lt;&gt;"","Paid",IF(TODAY()-B328&gt;'My business'!$B$16,"OVERDUE","Awaiting")))</f>
        <v/>
      </c>
    </row>
    <row r="329">
      <c r="A329" s="2" t="n"/>
      <c r="B329" s="5" t="n"/>
      <c r="C329" s="2" t="n"/>
      <c r="D329" s="15" t="n"/>
      <c r="E329" s="5" t="n"/>
      <c r="F329">
        <f>IF(OR(B329="",E329=""),"",E329-B329)</f>
        <v/>
      </c>
      <c r="G329">
        <f>IF(B329="","",IF(E329&lt;&gt;"","Paid",IF(TODAY()-B329&gt;'My business'!$B$16,"OVERDUE","Awaiting")))</f>
        <v/>
      </c>
    </row>
    <row r="330">
      <c r="A330" s="2" t="n"/>
      <c r="B330" s="5" t="n"/>
      <c r="C330" s="2" t="n"/>
      <c r="D330" s="15" t="n"/>
      <c r="E330" s="5" t="n"/>
      <c r="F330">
        <f>IF(OR(B330="",E330=""),"",E330-B330)</f>
        <v/>
      </c>
      <c r="G330">
        <f>IF(B330="","",IF(E330&lt;&gt;"","Paid",IF(TODAY()-B330&gt;'My business'!$B$16,"OVERDUE","Awaiting")))</f>
        <v/>
      </c>
    </row>
    <row r="331">
      <c r="A331" s="2" t="n"/>
      <c r="B331" s="5" t="n"/>
      <c r="C331" s="2" t="n"/>
      <c r="D331" s="15" t="n"/>
      <c r="E331" s="5" t="n"/>
      <c r="F331">
        <f>IF(OR(B331="",E331=""),"",E331-B331)</f>
        <v/>
      </c>
      <c r="G331">
        <f>IF(B331="","",IF(E331&lt;&gt;"","Paid",IF(TODAY()-B331&gt;'My business'!$B$16,"OVERDUE","Awaiting")))</f>
        <v/>
      </c>
    </row>
    <row r="332">
      <c r="A332" s="2" t="n"/>
      <c r="B332" s="5" t="n"/>
      <c r="C332" s="2" t="n"/>
      <c r="D332" s="15" t="n"/>
      <c r="E332" s="5" t="n"/>
      <c r="F332">
        <f>IF(OR(B332="",E332=""),"",E332-B332)</f>
        <v/>
      </c>
      <c r="G332">
        <f>IF(B332="","",IF(E332&lt;&gt;"","Paid",IF(TODAY()-B332&gt;'My business'!$B$16,"OVERDUE","Awaiting")))</f>
        <v/>
      </c>
    </row>
    <row r="333">
      <c r="A333" s="2" t="n"/>
      <c r="B333" s="5" t="n"/>
      <c r="C333" s="2" t="n"/>
      <c r="D333" s="15" t="n"/>
      <c r="E333" s="5" t="n"/>
      <c r="F333">
        <f>IF(OR(B333="",E333=""),"",E333-B333)</f>
        <v/>
      </c>
      <c r="G333">
        <f>IF(B333="","",IF(E333&lt;&gt;"","Paid",IF(TODAY()-B333&gt;'My business'!$B$16,"OVERDUE","Awaiting")))</f>
        <v/>
      </c>
    </row>
    <row r="334">
      <c r="A334" s="2" t="n"/>
      <c r="B334" s="5" t="n"/>
      <c r="C334" s="2" t="n"/>
      <c r="D334" s="15" t="n"/>
      <c r="E334" s="5" t="n"/>
      <c r="F334">
        <f>IF(OR(B334="",E334=""),"",E334-B334)</f>
        <v/>
      </c>
      <c r="G334">
        <f>IF(B334="","",IF(E334&lt;&gt;"","Paid",IF(TODAY()-B334&gt;'My business'!$B$16,"OVERDUE","Awaiting")))</f>
        <v/>
      </c>
    </row>
    <row r="335">
      <c r="A335" s="2" t="n"/>
      <c r="B335" s="5" t="n"/>
      <c r="C335" s="2" t="n"/>
      <c r="D335" s="15" t="n"/>
      <c r="E335" s="5" t="n"/>
      <c r="F335">
        <f>IF(OR(B335="",E335=""),"",E335-B335)</f>
        <v/>
      </c>
      <c r="G335">
        <f>IF(B335="","",IF(E335&lt;&gt;"","Paid",IF(TODAY()-B335&gt;'My business'!$B$16,"OVERDUE","Awaiting")))</f>
        <v/>
      </c>
    </row>
    <row r="336">
      <c r="A336" s="2" t="n"/>
      <c r="B336" s="5" t="n"/>
      <c r="C336" s="2" t="n"/>
      <c r="D336" s="15" t="n"/>
      <c r="E336" s="5" t="n"/>
      <c r="F336">
        <f>IF(OR(B336="",E336=""),"",E336-B336)</f>
        <v/>
      </c>
      <c r="G336">
        <f>IF(B336="","",IF(E336&lt;&gt;"","Paid",IF(TODAY()-B336&gt;'My business'!$B$16,"OVERDUE","Awaiting")))</f>
        <v/>
      </c>
    </row>
    <row r="337">
      <c r="A337" s="2" t="n"/>
      <c r="B337" s="5" t="n"/>
      <c r="C337" s="2" t="n"/>
      <c r="D337" s="15" t="n"/>
      <c r="E337" s="5" t="n"/>
      <c r="F337">
        <f>IF(OR(B337="",E337=""),"",E337-B337)</f>
        <v/>
      </c>
      <c r="G337">
        <f>IF(B337="","",IF(E337&lt;&gt;"","Paid",IF(TODAY()-B337&gt;'My business'!$B$16,"OVERDUE","Awaiting")))</f>
        <v/>
      </c>
    </row>
    <row r="338">
      <c r="A338" s="2" t="n"/>
      <c r="B338" s="5" t="n"/>
      <c r="C338" s="2" t="n"/>
      <c r="D338" s="15" t="n"/>
      <c r="E338" s="5" t="n"/>
      <c r="F338">
        <f>IF(OR(B338="",E338=""),"",E338-B338)</f>
        <v/>
      </c>
      <c r="G338">
        <f>IF(B338="","",IF(E338&lt;&gt;"","Paid",IF(TODAY()-B338&gt;'My business'!$B$16,"OVERDUE","Awaiting")))</f>
        <v/>
      </c>
    </row>
    <row r="339">
      <c r="A339" s="2" t="n"/>
      <c r="B339" s="5" t="n"/>
      <c r="C339" s="2" t="n"/>
      <c r="D339" s="15" t="n"/>
      <c r="E339" s="5" t="n"/>
      <c r="F339">
        <f>IF(OR(B339="",E339=""),"",E339-B339)</f>
        <v/>
      </c>
      <c r="G339">
        <f>IF(B339="","",IF(E339&lt;&gt;"","Paid",IF(TODAY()-B339&gt;'My business'!$B$16,"OVERDUE","Awaiting")))</f>
        <v/>
      </c>
    </row>
    <row r="340">
      <c r="A340" s="2" t="n"/>
      <c r="B340" s="5" t="n"/>
      <c r="C340" s="2" t="n"/>
      <c r="D340" s="15" t="n"/>
      <c r="E340" s="5" t="n"/>
      <c r="F340">
        <f>IF(OR(B340="",E340=""),"",E340-B340)</f>
        <v/>
      </c>
      <c r="G340">
        <f>IF(B340="","",IF(E340&lt;&gt;"","Paid",IF(TODAY()-B340&gt;'My business'!$B$16,"OVERDUE","Awaiting")))</f>
        <v/>
      </c>
    </row>
    <row r="341">
      <c r="A341" s="2" t="n"/>
      <c r="B341" s="5" t="n"/>
      <c r="C341" s="2" t="n"/>
      <c r="D341" s="15" t="n"/>
      <c r="E341" s="5" t="n"/>
      <c r="F341">
        <f>IF(OR(B341="",E341=""),"",E341-B341)</f>
        <v/>
      </c>
      <c r="G341">
        <f>IF(B341="","",IF(E341&lt;&gt;"","Paid",IF(TODAY()-B341&gt;'My business'!$B$16,"OVERDUE","Awaiting")))</f>
        <v/>
      </c>
    </row>
    <row r="342">
      <c r="A342" s="2" t="n"/>
      <c r="B342" s="5" t="n"/>
      <c r="C342" s="2" t="n"/>
      <c r="D342" s="15" t="n"/>
      <c r="E342" s="5" t="n"/>
      <c r="F342">
        <f>IF(OR(B342="",E342=""),"",E342-B342)</f>
        <v/>
      </c>
      <c r="G342">
        <f>IF(B342="","",IF(E342&lt;&gt;"","Paid",IF(TODAY()-B342&gt;'My business'!$B$16,"OVERDUE","Awaiting")))</f>
        <v/>
      </c>
    </row>
    <row r="343">
      <c r="A343" s="2" t="n"/>
      <c r="B343" s="5" t="n"/>
      <c r="C343" s="2" t="n"/>
      <c r="D343" s="15" t="n"/>
      <c r="E343" s="5" t="n"/>
      <c r="F343">
        <f>IF(OR(B343="",E343=""),"",E343-B343)</f>
        <v/>
      </c>
      <c r="G343">
        <f>IF(B343="","",IF(E343&lt;&gt;"","Paid",IF(TODAY()-B343&gt;'My business'!$B$16,"OVERDUE","Awaiting")))</f>
        <v/>
      </c>
    </row>
    <row r="344">
      <c r="A344" s="2" t="n"/>
      <c r="B344" s="5" t="n"/>
      <c r="C344" s="2" t="n"/>
      <c r="D344" s="15" t="n"/>
      <c r="E344" s="5" t="n"/>
      <c r="F344">
        <f>IF(OR(B344="",E344=""),"",E344-B344)</f>
        <v/>
      </c>
      <c r="G344">
        <f>IF(B344="","",IF(E344&lt;&gt;"","Paid",IF(TODAY()-B344&gt;'My business'!$B$16,"OVERDUE","Awaiting")))</f>
        <v/>
      </c>
    </row>
    <row r="345">
      <c r="A345" s="2" t="n"/>
      <c r="B345" s="5" t="n"/>
      <c r="C345" s="2" t="n"/>
      <c r="D345" s="15" t="n"/>
      <c r="E345" s="5" t="n"/>
      <c r="F345">
        <f>IF(OR(B345="",E345=""),"",E345-B345)</f>
        <v/>
      </c>
      <c r="G345">
        <f>IF(B345="","",IF(E345&lt;&gt;"","Paid",IF(TODAY()-B345&gt;'My business'!$B$16,"OVERDUE","Awaiting")))</f>
        <v/>
      </c>
    </row>
    <row r="346">
      <c r="A346" s="2" t="n"/>
      <c r="B346" s="5" t="n"/>
      <c r="C346" s="2" t="n"/>
      <c r="D346" s="15" t="n"/>
      <c r="E346" s="5" t="n"/>
      <c r="F346">
        <f>IF(OR(B346="",E346=""),"",E346-B346)</f>
        <v/>
      </c>
      <c r="G346">
        <f>IF(B346="","",IF(E346&lt;&gt;"","Paid",IF(TODAY()-B346&gt;'My business'!$B$16,"OVERDUE","Awaiting")))</f>
        <v/>
      </c>
    </row>
    <row r="347">
      <c r="A347" s="2" t="n"/>
      <c r="B347" s="5" t="n"/>
      <c r="C347" s="2" t="n"/>
      <c r="D347" s="15" t="n"/>
      <c r="E347" s="5" t="n"/>
      <c r="F347">
        <f>IF(OR(B347="",E347=""),"",E347-B347)</f>
        <v/>
      </c>
      <c r="G347">
        <f>IF(B347="","",IF(E347&lt;&gt;"","Paid",IF(TODAY()-B347&gt;'My business'!$B$16,"OVERDUE","Awaiting")))</f>
        <v/>
      </c>
    </row>
    <row r="348">
      <c r="A348" s="2" t="n"/>
      <c r="B348" s="5" t="n"/>
      <c r="C348" s="2" t="n"/>
      <c r="D348" s="15" t="n"/>
      <c r="E348" s="5" t="n"/>
      <c r="F348">
        <f>IF(OR(B348="",E348=""),"",E348-B348)</f>
        <v/>
      </c>
      <c r="G348">
        <f>IF(B348="","",IF(E348&lt;&gt;"","Paid",IF(TODAY()-B348&gt;'My business'!$B$16,"OVERDUE","Awaiting")))</f>
        <v/>
      </c>
    </row>
    <row r="349">
      <c r="A349" s="2" t="n"/>
      <c r="B349" s="5" t="n"/>
      <c r="C349" s="2" t="n"/>
      <c r="D349" s="15" t="n"/>
      <c r="E349" s="5" t="n"/>
      <c r="F349">
        <f>IF(OR(B349="",E349=""),"",E349-B349)</f>
        <v/>
      </c>
      <c r="G349">
        <f>IF(B349="","",IF(E349&lt;&gt;"","Paid",IF(TODAY()-B349&gt;'My business'!$B$16,"OVERDUE","Awaiting")))</f>
        <v/>
      </c>
    </row>
    <row r="350">
      <c r="A350" s="2" t="n"/>
      <c r="B350" s="5" t="n"/>
      <c r="C350" s="2" t="n"/>
      <c r="D350" s="15" t="n"/>
      <c r="E350" s="5" t="n"/>
      <c r="F350">
        <f>IF(OR(B350="",E350=""),"",E350-B350)</f>
        <v/>
      </c>
      <c r="G350">
        <f>IF(B350="","",IF(E350&lt;&gt;"","Paid",IF(TODAY()-B350&gt;'My business'!$B$16,"OVERDUE","Awaiting")))</f>
        <v/>
      </c>
    </row>
    <row r="351">
      <c r="A351" s="2" t="n"/>
      <c r="B351" s="5" t="n"/>
      <c r="C351" s="2" t="n"/>
      <c r="D351" s="15" t="n"/>
      <c r="E351" s="5" t="n"/>
      <c r="F351">
        <f>IF(OR(B351="",E351=""),"",E351-B351)</f>
        <v/>
      </c>
      <c r="G351">
        <f>IF(B351="","",IF(E351&lt;&gt;"","Paid",IF(TODAY()-B351&gt;'My business'!$B$16,"OVERDUE","Awaiting")))</f>
        <v/>
      </c>
    </row>
    <row r="352">
      <c r="A352" s="2" t="n"/>
      <c r="B352" s="5" t="n"/>
      <c r="C352" s="2" t="n"/>
      <c r="D352" s="15" t="n"/>
      <c r="E352" s="5" t="n"/>
      <c r="F352">
        <f>IF(OR(B352="",E352=""),"",E352-B352)</f>
        <v/>
      </c>
      <c r="G352">
        <f>IF(B352="","",IF(E352&lt;&gt;"","Paid",IF(TODAY()-B352&gt;'My business'!$B$16,"OVERDUE","Awaiting")))</f>
        <v/>
      </c>
    </row>
    <row r="353">
      <c r="A353" s="2" t="n"/>
      <c r="B353" s="5" t="n"/>
      <c r="C353" s="2" t="n"/>
      <c r="D353" s="15" t="n"/>
      <c r="E353" s="5" t="n"/>
      <c r="F353">
        <f>IF(OR(B353="",E353=""),"",E353-B353)</f>
        <v/>
      </c>
      <c r="G353">
        <f>IF(B353="","",IF(E353&lt;&gt;"","Paid",IF(TODAY()-B353&gt;'My business'!$B$16,"OVERDUE","Awaiting")))</f>
        <v/>
      </c>
    </row>
    <row r="354">
      <c r="A354" s="2" t="n"/>
      <c r="B354" s="5" t="n"/>
      <c r="C354" s="2" t="n"/>
      <c r="D354" s="15" t="n"/>
      <c r="E354" s="5" t="n"/>
      <c r="F354">
        <f>IF(OR(B354="",E354=""),"",E354-B354)</f>
        <v/>
      </c>
      <c r="G354">
        <f>IF(B354="","",IF(E354&lt;&gt;"","Paid",IF(TODAY()-B354&gt;'My business'!$B$16,"OVERDUE","Awaiting")))</f>
        <v/>
      </c>
    </row>
    <row r="355">
      <c r="A355" s="2" t="n"/>
      <c r="B355" s="5" t="n"/>
      <c r="C355" s="2" t="n"/>
      <c r="D355" s="15" t="n"/>
      <c r="E355" s="5" t="n"/>
      <c r="F355">
        <f>IF(OR(B355="",E355=""),"",E355-B355)</f>
        <v/>
      </c>
      <c r="G355">
        <f>IF(B355="","",IF(E355&lt;&gt;"","Paid",IF(TODAY()-B355&gt;'My business'!$B$16,"OVERDUE","Awaiting")))</f>
        <v/>
      </c>
    </row>
    <row r="356">
      <c r="A356" s="2" t="n"/>
      <c r="B356" s="5" t="n"/>
      <c r="C356" s="2" t="n"/>
      <c r="D356" s="15" t="n"/>
      <c r="E356" s="5" t="n"/>
      <c r="F356">
        <f>IF(OR(B356="",E356=""),"",E356-B356)</f>
        <v/>
      </c>
      <c r="G356">
        <f>IF(B356="","",IF(E356&lt;&gt;"","Paid",IF(TODAY()-B356&gt;'My business'!$B$16,"OVERDUE","Awaiting")))</f>
        <v/>
      </c>
    </row>
    <row r="357">
      <c r="A357" s="2" t="n"/>
      <c r="B357" s="5" t="n"/>
      <c r="C357" s="2" t="n"/>
      <c r="D357" s="15" t="n"/>
      <c r="E357" s="5" t="n"/>
      <c r="F357">
        <f>IF(OR(B357="",E357=""),"",E357-B357)</f>
        <v/>
      </c>
      <c r="G357">
        <f>IF(B357="","",IF(E357&lt;&gt;"","Paid",IF(TODAY()-B357&gt;'My business'!$B$16,"OVERDUE","Awaiting")))</f>
        <v/>
      </c>
    </row>
    <row r="358">
      <c r="A358" s="2" t="n"/>
      <c r="B358" s="5" t="n"/>
      <c r="C358" s="2" t="n"/>
      <c r="D358" s="15" t="n"/>
      <c r="E358" s="5" t="n"/>
      <c r="F358">
        <f>IF(OR(B358="",E358=""),"",E358-B358)</f>
        <v/>
      </c>
      <c r="G358">
        <f>IF(B358="","",IF(E358&lt;&gt;"","Paid",IF(TODAY()-B358&gt;'My business'!$B$16,"OVERDUE","Awaiting")))</f>
        <v/>
      </c>
    </row>
    <row r="359">
      <c r="A359" s="2" t="n"/>
      <c r="B359" s="5" t="n"/>
      <c r="C359" s="2" t="n"/>
      <c r="D359" s="15" t="n"/>
      <c r="E359" s="5" t="n"/>
      <c r="F359">
        <f>IF(OR(B359="",E359=""),"",E359-B359)</f>
        <v/>
      </c>
      <c r="G359">
        <f>IF(B359="","",IF(E359&lt;&gt;"","Paid",IF(TODAY()-B359&gt;'My business'!$B$16,"OVERDUE","Awaiting")))</f>
        <v/>
      </c>
    </row>
    <row r="360">
      <c r="A360" s="2" t="n"/>
      <c r="B360" s="5" t="n"/>
      <c r="C360" s="2" t="n"/>
      <c r="D360" s="15" t="n"/>
      <c r="E360" s="5" t="n"/>
      <c r="F360">
        <f>IF(OR(B360="",E360=""),"",E360-B360)</f>
        <v/>
      </c>
      <c r="G360">
        <f>IF(B360="","",IF(E360&lt;&gt;"","Paid",IF(TODAY()-B360&gt;'My business'!$B$16,"OVERDUE","Awaiting")))</f>
        <v/>
      </c>
    </row>
    <row r="361">
      <c r="A361" s="2" t="n"/>
      <c r="B361" s="5" t="n"/>
      <c r="C361" s="2" t="n"/>
      <c r="D361" s="15" t="n"/>
      <c r="E361" s="5" t="n"/>
      <c r="F361">
        <f>IF(OR(B361="",E361=""),"",E361-B361)</f>
        <v/>
      </c>
      <c r="G361">
        <f>IF(B361="","",IF(E361&lt;&gt;"","Paid",IF(TODAY()-B361&gt;'My business'!$B$16,"OVERDUE","Awaiting")))</f>
        <v/>
      </c>
    </row>
    <row r="362">
      <c r="A362" s="2" t="n"/>
      <c r="B362" s="5" t="n"/>
      <c r="C362" s="2" t="n"/>
      <c r="D362" s="15" t="n"/>
      <c r="E362" s="5" t="n"/>
      <c r="F362">
        <f>IF(OR(B362="",E362=""),"",E362-B362)</f>
        <v/>
      </c>
      <c r="G362">
        <f>IF(B362="","",IF(E362&lt;&gt;"","Paid",IF(TODAY()-B362&gt;'My business'!$B$16,"OVERDUE","Awaiting")))</f>
        <v/>
      </c>
    </row>
    <row r="363">
      <c r="A363" s="2" t="n"/>
      <c r="B363" s="5" t="n"/>
      <c r="C363" s="2" t="n"/>
      <c r="D363" s="15" t="n"/>
      <c r="E363" s="5" t="n"/>
      <c r="F363">
        <f>IF(OR(B363="",E363=""),"",E363-B363)</f>
        <v/>
      </c>
      <c r="G363">
        <f>IF(B363="","",IF(E363&lt;&gt;"","Paid",IF(TODAY()-B363&gt;'My business'!$B$16,"OVERDUE","Awaiting")))</f>
        <v/>
      </c>
    </row>
    <row r="364">
      <c r="A364" s="2" t="n"/>
      <c r="B364" s="5" t="n"/>
      <c r="C364" s="2" t="n"/>
      <c r="D364" s="15" t="n"/>
      <c r="E364" s="5" t="n"/>
      <c r="F364">
        <f>IF(OR(B364="",E364=""),"",E364-B364)</f>
        <v/>
      </c>
      <c r="G364">
        <f>IF(B364="","",IF(E364&lt;&gt;"","Paid",IF(TODAY()-B364&gt;'My business'!$B$16,"OVERDUE","Awaiting")))</f>
        <v/>
      </c>
    </row>
    <row r="365">
      <c r="A365" s="2" t="n"/>
      <c r="B365" s="5" t="n"/>
      <c r="C365" s="2" t="n"/>
      <c r="D365" s="15" t="n"/>
      <c r="E365" s="5" t="n"/>
      <c r="F365">
        <f>IF(OR(B365="",E365=""),"",E365-B365)</f>
        <v/>
      </c>
      <c r="G365">
        <f>IF(B365="","",IF(E365&lt;&gt;"","Paid",IF(TODAY()-B365&gt;'My business'!$B$16,"OVERDUE","Awaiting")))</f>
        <v/>
      </c>
    </row>
    <row r="366">
      <c r="A366" s="2" t="n"/>
      <c r="B366" s="5" t="n"/>
      <c r="C366" s="2" t="n"/>
      <c r="D366" s="15" t="n"/>
      <c r="E366" s="5" t="n"/>
      <c r="F366">
        <f>IF(OR(B366="",E366=""),"",E366-B366)</f>
        <v/>
      </c>
      <c r="G366">
        <f>IF(B366="","",IF(E366&lt;&gt;"","Paid",IF(TODAY()-B366&gt;'My business'!$B$16,"OVERDUE","Awaiting")))</f>
        <v/>
      </c>
    </row>
    <row r="367">
      <c r="A367" s="2" t="n"/>
      <c r="B367" s="5" t="n"/>
      <c r="C367" s="2" t="n"/>
      <c r="D367" s="15" t="n"/>
      <c r="E367" s="5" t="n"/>
      <c r="F367">
        <f>IF(OR(B367="",E367=""),"",E367-B367)</f>
        <v/>
      </c>
      <c r="G367">
        <f>IF(B367="","",IF(E367&lt;&gt;"","Paid",IF(TODAY()-B367&gt;'My business'!$B$16,"OVERDUE","Awaiting")))</f>
        <v/>
      </c>
    </row>
    <row r="368">
      <c r="A368" s="2" t="n"/>
      <c r="B368" s="5" t="n"/>
      <c r="C368" s="2" t="n"/>
      <c r="D368" s="15" t="n"/>
      <c r="E368" s="5" t="n"/>
      <c r="F368">
        <f>IF(OR(B368="",E368=""),"",E368-B368)</f>
        <v/>
      </c>
      <c r="G368">
        <f>IF(B368="","",IF(E368&lt;&gt;"","Paid",IF(TODAY()-B368&gt;'My business'!$B$16,"OVERDUE","Awaiting")))</f>
        <v/>
      </c>
    </row>
    <row r="369">
      <c r="A369" s="2" t="n"/>
      <c r="B369" s="5" t="n"/>
      <c r="C369" s="2" t="n"/>
      <c r="D369" s="15" t="n"/>
      <c r="E369" s="5" t="n"/>
      <c r="F369">
        <f>IF(OR(B369="",E369=""),"",E369-B369)</f>
        <v/>
      </c>
      <c r="G369">
        <f>IF(B369="","",IF(E369&lt;&gt;"","Paid",IF(TODAY()-B369&gt;'My business'!$B$16,"OVERDUE","Awaiting")))</f>
        <v/>
      </c>
    </row>
    <row r="370">
      <c r="A370" s="2" t="n"/>
      <c r="B370" s="5" t="n"/>
      <c r="C370" s="2" t="n"/>
      <c r="D370" s="15" t="n"/>
      <c r="E370" s="5" t="n"/>
      <c r="F370">
        <f>IF(OR(B370="",E370=""),"",E370-B370)</f>
        <v/>
      </c>
      <c r="G370">
        <f>IF(B370="","",IF(E370&lt;&gt;"","Paid",IF(TODAY()-B370&gt;'My business'!$B$16,"OVERDUE","Awaiting")))</f>
        <v/>
      </c>
    </row>
    <row r="371">
      <c r="A371" s="2" t="n"/>
      <c r="B371" s="5" t="n"/>
      <c r="C371" s="2" t="n"/>
      <c r="D371" s="15" t="n"/>
      <c r="E371" s="5" t="n"/>
      <c r="F371">
        <f>IF(OR(B371="",E371=""),"",E371-B371)</f>
        <v/>
      </c>
      <c r="G371">
        <f>IF(B371="","",IF(E371&lt;&gt;"","Paid",IF(TODAY()-B371&gt;'My business'!$B$16,"OVERDUE","Awaiting")))</f>
        <v/>
      </c>
    </row>
    <row r="372">
      <c r="A372" s="2" t="n"/>
      <c r="B372" s="5" t="n"/>
      <c r="C372" s="2" t="n"/>
      <c r="D372" s="15" t="n"/>
      <c r="E372" s="5" t="n"/>
      <c r="F372">
        <f>IF(OR(B372="",E372=""),"",E372-B372)</f>
        <v/>
      </c>
      <c r="G372">
        <f>IF(B372="","",IF(E372&lt;&gt;"","Paid",IF(TODAY()-B372&gt;'My business'!$B$16,"OVERDUE","Awaiting")))</f>
        <v/>
      </c>
    </row>
    <row r="373">
      <c r="A373" s="2" t="n"/>
      <c r="B373" s="5" t="n"/>
      <c r="C373" s="2" t="n"/>
      <c r="D373" s="15" t="n"/>
      <c r="E373" s="5" t="n"/>
      <c r="F373">
        <f>IF(OR(B373="",E373=""),"",E373-B373)</f>
        <v/>
      </c>
      <c r="G373">
        <f>IF(B373="","",IF(E373&lt;&gt;"","Paid",IF(TODAY()-B373&gt;'My business'!$B$16,"OVERDUE","Awaiting")))</f>
        <v/>
      </c>
    </row>
    <row r="374">
      <c r="A374" s="2" t="n"/>
      <c r="B374" s="5" t="n"/>
      <c r="C374" s="2" t="n"/>
      <c r="D374" s="15" t="n"/>
      <c r="E374" s="5" t="n"/>
      <c r="F374">
        <f>IF(OR(B374="",E374=""),"",E374-B374)</f>
        <v/>
      </c>
      <c r="G374">
        <f>IF(B374="","",IF(E374&lt;&gt;"","Paid",IF(TODAY()-B374&gt;'My business'!$B$16,"OVERDUE","Awaiting")))</f>
        <v/>
      </c>
    </row>
    <row r="375">
      <c r="A375" s="2" t="n"/>
      <c r="B375" s="5" t="n"/>
      <c r="C375" s="2" t="n"/>
      <c r="D375" s="15" t="n"/>
      <c r="E375" s="5" t="n"/>
      <c r="F375">
        <f>IF(OR(B375="",E375=""),"",E375-B375)</f>
        <v/>
      </c>
      <c r="G375">
        <f>IF(B375="","",IF(E375&lt;&gt;"","Paid",IF(TODAY()-B375&gt;'My business'!$B$16,"OVERDUE","Awaiting")))</f>
        <v/>
      </c>
    </row>
    <row r="376">
      <c r="A376" s="2" t="n"/>
      <c r="B376" s="5" t="n"/>
      <c r="C376" s="2" t="n"/>
      <c r="D376" s="15" t="n"/>
      <c r="E376" s="5" t="n"/>
      <c r="F376">
        <f>IF(OR(B376="",E376=""),"",E376-B376)</f>
        <v/>
      </c>
      <c r="G376">
        <f>IF(B376="","",IF(E376&lt;&gt;"","Paid",IF(TODAY()-B376&gt;'My business'!$B$16,"OVERDUE","Awaiting")))</f>
        <v/>
      </c>
    </row>
    <row r="377">
      <c r="A377" s="2" t="n"/>
      <c r="B377" s="5" t="n"/>
      <c r="C377" s="2" t="n"/>
      <c r="D377" s="15" t="n"/>
      <c r="E377" s="5" t="n"/>
      <c r="F377">
        <f>IF(OR(B377="",E377=""),"",E377-B377)</f>
        <v/>
      </c>
      <c r="G377">
        <f>IF(B377="","",IF(E377&lt;&gt;"","Paid",IF(TODAY()-B377&gt;'My business'!$B$16,"OVERDUE","Awaiting")))</f>
        <v/>
      </c>
    </row>
    <row r="378">
      <c r="A378" s="2" t="n"/>
      <c r="B378" s="5" t="n"/>
      <c r="C378" s="2" t="n"/>
      <c r="D378" s="15" t="n"/>
      <c r="E378" s="5" t="n"/>
      <c r="F378">
        <f>IF(OR(B378="",E378=""),"",E378-B378)</f>
        <v/>
      </c>
      <c r="G378">
        <f>IF(B378="","",IF(E378&lt;&gt;"","Paid",IF(TODAY()-B378&gt;'My business'!$B$16,"OVERDUE","Awaiting")))</f>
        <v/>
      </c>
    </row>
    <row r="379">
      <c r="A379" s="2" t="n"/>
      <c r="B379" s="5" t="n"/>
      <c r="C379" s="2" t="n"/>
      <c r="D379" s="15" t="n"/>
      <c r="E379" s="5" t="n"/>
      <c r="F379">
        <f>IF(OR(B379="",E379=""),"",E379-B379)</f>
        <v/>
      </c>
      <c r="G379">
        <f>IF(B379="","",IF(E379&lt;&gt;"","Paid",IF(TODAY()-B379&gt;'My business'!$B$16,"OVERDUE","Awaiting")))</f>
        <v/>
      </c>
    </row>
    <row r="380">
      <c r="A380" s="2" t="n"/>
      <c r="B380" s="5" t="n"/>
      <c r="C380" s="2" t="n"/>
      <c r="D380" s="15" t="n"/>
      <c r="E380" s="5" t="n"/>
      <c r="F380">
        <f>IF(OR(B380="",E380=""),"",E380-B380)</f>
        <v/>
      </c>
      <c r="G380">
        <f>IF(B380="","",IF(E380&lt;&gt;"","Paid",IF(TODAY()-B380&gt;'My business'!$B$16,"OVERDUE","Awaiting")))</f>
        <v/>
      </c>
    </row>
    <row r="381">
      <c r="A381" s="2" t="n"/>
      <c r="B381" s="5" t="n"/>
      <c r="C381" s="2" t="n"/>
      <c r="D381" s="15" t="n"/>
      <c r="E381" s="5" t="n"/>
      <c r="F381">
        <f>IF(OR(B381="",E381=""),"",E381-B381)</f>
        <v/>
      </c>
      <c r="G381">
        <f>IF(B381="","",IF(E381&lt;&gt;"","Paid",IF(TODAY()-B381&gt;'My business'!$B$16,"OVERDUE","Awaiting")))</f>
        <v/>
      </c>
    </row>
    <row r="382">
      <c r="A382" s="2" t="n"/>
      <c r="B382" s="5" t="n"/>
      <c r="C382" s="2" t="n"/>
      <c r="D382" s="15" t="n"/>
      <c r="E382" s="5" t="n"/>
      <c r="F382">
        <f>IF(OR(B382="",E382=""),"",E382-B382)</f>
        <v/>
      </c>
      <c r="G382">
        <f>IF(B382="","",IF(E382&lt;&gt;"","Paid",IF(TODAY()-B382&gt;'My business'!$B$16,"OVERDUE","Awaiting")))</f>
        <v/>
      </c>
    </row>
    <row r="383">
      <c r="A383" s="2" t="n"/>
      <c r="B383" s="5" t="n"/>
      <c r="C383" s="2" t="n"/>
      <c r="D383" s="15" t="n"/>
      <c r="E383" s="5" t="n"/>
      <c r="F383">
        <f>IF(OR(B383="",E383=""),"",E383-B383)</f>
        <v/>
      </c>
      <c r="G383">
        <f>IF(B383="","",IF(E383&lt;&gt;"","Paid",IF(TODAY()-B383&gt;'My business'!$B$16,"OVERDUE","Awaiting")))</f>
        <v/>
      </c>
    </row>
    <row r="384">
      <c r="A384" s="2" t="n"/>
      <c r="B384" s="5" t="n"/>
      <c r="C384" s="2" t="n"/>
      <c r="D384" s="15" t="n"/>
      <c r="E384" s="5" t="n"/>
      <c r="F384">
        <f>IF(OR(B384="",E384=""),"",E384-B384)</f>
        <v/>
      </c>
      <c r="G384">
        <f>IF(B384="","",IF(E384&lt;&gt;"","Paid",IF(TODAY()-B384&gt;'My business'!$B$16,"OVERDUE","Awaiting")))</f>
        <v/>
      </c>
    </row>
    <row r="385">
      <c r="A385" s="2" t="n"/>
      <c r="B385" s="5" t="n"/>
      <c r="C385" s="2" t="n"/>
      <c r="D385" s="15" t="n"/>
      <c r="E385" s="5" t="n"/>
      <c r="F385">
        <f>IF(OR(B385="",E385=""),"",E385-B385)</f>
        <v/>
      </c>
      <c r="G385">
        <f>IF(B385="","",IF(E385&lt;&gt;"","Paid",IF(TODAY()-B385&gt;'My business'!$B$16,"OVERDUE","Awaiting")))</f>
        <v/>
      </c>
    </row>
    <row r="386">
      <c r="A386" s="2" t="n"/>
      <c r="B386" s="5" t="n"/>
      <c r="C386" s="2" t="n"/>
      <c r="D386" s="15" t="n"/>
      <c r="E386" s="5" t="n"/>
      <c r="F386">
        <f>IF(OR(B386="",E386=""),"",E386-B386)</f>
        <v/>
      </c>
      <c r="G386">
        <f>IF(B386="","",IF(E386&lt;&gt;"","Paid",IF(TODAY()-B386&gt;'My business'!$B$16,"OVERDUE","Awaiting")))</f>
        <v/>
      </c>
    </row>
    <row r="387">
      <c r="A387" s="2" t="n"/>
      <c r="B387" s="5" t="n"/>
      <c r="C387" s="2" t="n"/>
      <c r="D387" s="15" t="n"/>
      <c r="E387" s="5" t="n"/>
      <c r="F387">
        <f>IF(OR(B387="",E387=""),"",E387-B387)</f>
        <v/>
      </c>
      <c r="G387">
        <f>IF(B387="","",IF(E387&lt;&gt;"","Paid",IF(TODAY()-B387&gt;'My business'!$B$16,"OVERDUE","Awaiting")))</f>
        <v/>
      </c>
    </row>
    <row r="388">
      <c r="A388" s="2" t="n"/>
      <c r="B388" s="5" t="n"/>
      <c r="C388" s="2" t="n"/>
      <c r="D388" s="15" t="n"/>
      <c r="E388" s="5" t="n"/>
      <c r="F388">
        <f>IF(OR(B388="",E388=""),"",E388-B388)</f>
        <v/>
      </c>
      <c r="G388">
        <f>IF(B388="","",IF(E388&lt;&gt;"","Paid",IF(TODAY()-B388&gt;'My business'!$B$16,"OVERDUE","Awaiting")))</f>
        <v/>
      </c>
    </row>
    <row r="389">
      <c r="A389" s="2" t="n"/>
      <c r="B389" s="5" t="n"/>
      <c r="C389" s="2" t="n"/>
      <c r="D389" s="15" t="n"/>
      <c r="E389" s="5" t="n"/>
      <c r="F389">
        <f>IF(OR(B389="",E389=""),"",E389-B389)</f>
        <v/>
      </c>
      <c r="G389">
        <f>IF(B389="","",IF(E389&lt;&gt;"","Paid",IF(TODAY()-B389&gt;'My business'!$B$16,"OVERDUE","Awaiting")))</f>
        <v/>
      </c>
    </row>
    <row r="390">
      <c r="A390" s="2" t="n"/>
      <c r="B390" s="5" t="n"/>
      <c r="C390" s="2" t="n"/>
      <c r="D390" s="15" t="n"/>
      <c r="E390" s="5" t="n"/>
      <c r="F390">
        <f>IF(OR(B390="",E390=""),"",E390-B390)</f>
        <v/>
      </c>
      <c r="G390">
        <f>IF(B390="","",IF(E390&lt;&gt;"","Paid",IF(TODAY()-B390&gt;'My business'!$B$16,"OVERDUE","Awaiting")))</f>
        <v/>
      </c>
    </row>
    <row r="391">
      <c r="A391" s="2" t="n"/>
      <c r="B391" s="5" t="n"/>
      <c r="C391" s="2" t="n"/>
      <c r="D391" s="15" t="n"/>
      <c r="E391" s="5" t="n"/>
      <c r="F391">
        <f>IF(OR(B391="",E391=""),"",E391-B391)</f>
        <v/>
      </c>
      <c r="G391">
        <f>IF(B391="","",IF(E391&lt;&gt;"","Paid",IF(TODAY()-B391&gt;'My business'!$B$16,"OVERDUE","Awaiting")))</f>
        <v/>
      </c>
    </row>
    <row r="392">
      <c r="A392" s="2" t="n"/>
      <c r="B392" s="5" t="n"/>
      <c r="C392" s="2" t="n"/>
      <c r="D392" s="15" t="n"/>
      <c r="E392" s="5" t="n"/>
      <c r="F392">
        <f>IF(OR(B392="",E392=""),"",E392-B392)</f>
        <v/>
      </c>
      <c r="G392">
        <f>IF(B392="","",IF(E392&lt;&gt;"","Paid",IF(TODAY()-B392&gt;'My business'!$B$16,"OVERDUE","Awaiting")))</f>
        <v/>
      </c>
    </row>
    <row r="393">
      <c r="A393" s="2" t="n"/>
      <c r="B393" s="5" t="n"/>
      <c r="C393" s="2" t="n"/>
      <c r="D393" s="15" t="n"/>
      <c r="E393" s="5" t="n"/>
      <c r="F393">
        <f>IF(OR(B393="",E393=""),"",E393-B393)</f>
        <v/>
      </c>
      <c r="G393">
        <f>IF(B393="","",IF(E393&lt;&gt;"","Paid",IF(TODAY()-B393&gt;'My business'!$B$16,"OVERDUE","Awaiting")))</f>
        <v/>
      </c>
    </row>
    <row r="394">
      <c r="A394" s="2" t="n"/>
      <c r="B394" s="5" t="n"/>
      <c r="C394" s="2" t="n"/>
      <c r="D394" s="15" t="n"/>
      <c r="E394" s="5" t="n"/>
      <c r="F394">
        <f>IF(OR(B394="",E394=""),"",E394-B394)</f>
        <v/>
      </c>
      <c r="G394">
        <f>IF(B394="","",IF(E394&lt;&gt;"","Paid",IF(TODAY()-B394&gt;'My business'!$B$16,"OVERDUE","Awaiting")))</f>
        <v/>
      </c>
    </row>
    <row r="395">
      <c r="A395" s="2" t="n"/>
      <c r="B395" s="5" t="n"/>
      <c r="C395" s="2" t="n"/>
      <c r="D395" s="15" t="n"/>
      <c r="E395" s="5" t="n"/>
      <c r="F395">
        <f>IF(OR(B395="",E395=""),"",E395-B395)</f>
        <v/>
      </c>
      <c r="G395">
        <f>IF(B395="","",IF(E395&lt;&gt;"","Paid",IF(TODAY()-B395&gt;'My business'!$B$16,"OVERDUE","Awaiting")))</f>
        <v/>
      </c>
    </row>
    <row r="396">
      <c r="A396" s="2" t="n"/>
      <c r="B396" s="5" t="n"/>
      <c r="C396" s="2" t="n"/>
      <c r="D396" s="15" t="n"/>
      <c r="E396" s="5" t="n"/>
      <c r="F396">
        <f>IF(OR(B396="",E396=""),"",E396-B396)</f>
        <v/>
      </c>
      <c r="G396">
        <f>IF(B396="","",IF(E396&lt;&gt;"","Paid",IF(TODAY()-B396&gt;'My business'!$B$16,"OVERDUE","Awaiting")))</f>
        <v/>
      </c>
    </row>
    <row r="397">
      <c r="A397" s="2" t="n"/>
      <c r="B397" s="5" t="n"/>
      <c r="C397" s="2" t="n"/>
      <c r="D397" s="15" t="n"/>
      <c r="E397" s="5" t="n"/>
      <c r="F397">
        <f>IF(OR(B397="",E397=""),"",E397-B397)</f>
        <v/>
      </c>
      <c r="G397">
        <f>IF(B397="","",IF(E397&lt;&gt;"","Paid",IF(TODAY()-B397&gt;'My business'!$B$16,"OVERDUE","Awaiting")))</f>
        <v/>
      </c>
    </row>
    <row r="398">
      <c r="A398" s="2" t="n"/>
      <c r="B398" s="5" t="n"/>
      <c r="C398" s="2" t="n"/>
      <c r="D398" s="15" t="n"/>
      <c r="E398" s="5" t="n"/>
      <c r="F398">
        <f>IF(OR(B398="",E398=""),"",E398-B398)</f>
        <v/>
      </c>
      <c r="G398">
        <f>IF(B398="","",IF(E398&lt;&gt;"","Paid",IF(TODAY()-B398&gt;'My business'!$B$16,"OVERDUE","Awaiting")))</f>
        <v/>
      </c>
    </row>
    <row r="399">
      <c r="A399" s="2" t="n"/>
      <c r="B399" s="5" t="n"/>
      <c r="C399" s="2" t="n"/>
      <c r="D399" s="15" t="n"/>
      <c r="E399" s="5" t="n"/>
      <c r="F399">
        <f>IF(OR(B399="",E399=""),"",E399-B399)</f>
        <v/>
      </c>
      <c r="G399">
        <f>IF(B399="","",IF(E399&lt;&gt;"","Paid",IF(TODAY()-B399&gt;'My business'!$B$16,"OVERDUE","Awaiting")))</f>
        <v/>
      </c>
    </row>
    <row r="400">
      <c r="A400" s="2" t="n"/>
      <c r="B400" s="5" t="n"/>
      <c r="C400" s="2" t="n"/>
      <c r="D400" s="15" t="n"/>
      <c r="E400" s="5" t="n"/>
      <c r="F400">
        <f>IF(OR(B400="",E400=""),"",E400-B400)</f>
        <v/>
      </c>
      <c r="G400">
        <f>IF(B400="","",IF(E400&lt;&gt;"","Paid",IF(TODAY()-B400&gt;'My business'!$B$16,"OVERDUE","Awaiting")))</f>
        <v/>
      </c>
    </row>
    <row r="401">
      <c r="A401" s="2" t="n"/>
      <c r="B401" s="5" t="n"/>
      <c r="C401" s="2" t="n"/>
      <c r="D401" s="15" t="n"/>
      <c r="E401" s="5" t="n"/>
      <c r="F401">
        <f>IF(OR(B401="",E401=""),"",E401-B401)</f>
        <v/>
      </c>
      <c r="G401">
        <f>IF(B401="","",IF(E401&lt;&gt;"","Paid",IF(TODAY()-B401&gt;'My business'!$B$16,"OVERDUE","Awaiting")))</f>
        <v/>
      </c>
    </row>
    <row r="402">
      <c r="A402" s="2" t="n"/>
      <c r="B402" s="5" t="n"/>
      <c r="C402" s="2" t="n"/>
      <c r="D402" s="15" t="n"/>
      <c r="E402" s="5" t="n"/>
      <c r="F402">
        <f>IF(OR(B402="",E402=""),"",E402-B402)</f>
        <v/>
      </c>
      <c r="G402">
        <f>IF(B402="","",IF(E402&lt;&gt;"","Paid",IF(TODAY()-B402&gt;'My business'!$B$16,"OVERDUE","Awaiting")))</f>
        <v/>
      </c>
    </row>
    <row r="403">
      <c r="A403" s="2" t="n"/>
      <c r="B403" s="5" t="n"/>
      <c r="C403" s="2" t="n"/>
      <c r="D403" s="15" t="n"/>
      <c r="E403" s="5" t="n"/>
      <c r="F403">
        <f>IF(OR(B403="",E403=""),"",E403-B403)</f>
        <v/>
      </c>
      <c r="G403">
        <f>IF(B403="","",IF(E403&lt;&gt;"","Paid",IF(TODAY()-B403&gt;'My business'!$B$16,"OVERDUE","Awaiting")))</f>
        <v/>
      </c>
    </row>
    <row r="404">
      <c r="A404" s="2" t="n"/>
      <c r="B404" s="5" t="n"/>
      <c r="C404" s="2" t="n"/>
      <c r="D404" s="15" t="n"/>
      <c r="E404" s="5" t="n"/>
      <c r="F404">
        <f>IF(OR(B404="",E404=""),"",E404-B404)</f>
        <v/>
      </c>
      <c r="G404">
        <f>IF(B404="","",IF(E404&lt;&gt;"","Paid",IF(TODAY()-B404&gt;'My business'!$B$16,"OVERDUE","Awaiting")))</f>
        <v/>
      </c>
    </row>
    <row r="405">
      <c r="A405" s="2" t="n"/>
      <c r="B405" s="5" t="n"/>
      <c r="C405" s="2" t="n"/>
      <c r="D405" s="15" t="n"/>
      <c r="E405" s="5" t="n"/>
      <c r="F405">
        <f>IF(OR(B405="",E405=""),"",E405-B405)</f>
        <v/>
      </c>
      <c r="G405">
        <f>IF(B405="","",IF(E405&lt;&gt;"","Paid",IF(TODAY()-B405&gt;'My business'!$B$16,"OVERDUE","Awaiting")))</f>
        <v/>
      </c>
    </row>
    <row r="406">
      <c r="A406" s="2" t="n"/>
      <c r="B406" s="5" t="n"/>
      <c r="C406" s="2" t="n"/>
      <c r="D406" s="15" t="n"/>
      <c r="E406" s="5" t="n"/>
      <c r="F406">
        <f>IF(OR(B406="",E406=""),"",E406-B406)</f>
        <v/>
      </c>
      <c r="G406">
        <f>IF(B406="","",IF(E406&lt;&gt;"","Paid",IF(TODAY()-B406&gt;'My business'!$B$16,"OVERDUE","Awaiting")))</f>
        <v/>
      </c>
    </row>
    <row r="407">
      <c r="A407" s="2" t="n"/>
      <c r="B407" s="5" t="n"/>
      <c r="C407" s="2" t="n"/>
      <c r="D407" s="15" t="n"/>
      <c r="E407" s="5" t="n"/>
      <c r="F407">
        <f>IF(OR(B407="",E407=""),"",E407-B407)</f>
        <v/>
      </c>
      <c r="G407">
        <f>IF(B407="","",IF(E407&lt;&gt;"","Paid",IF(TODAY()-B407&gt;'My business'!$B$16,"OVERDUE","Awaiting")))</f>
        <v/>
      </c>
    </row>
    <row r="408">
      <c r="A408" s="2" t="n"/>
      <c r="B408" s="5" t="n"/>
      <c r="C408" s="2" t="n"/>
      <c r="D408" s="15" t="n"/>
      <c r="E408" s="5" t="n"/>
      <c r="F408">
        <f>IF(OR(B408="",E408=""),"",E408-B408)</f>
        <v/>
      </c>
      <c r="G408">
        <f>IF(B408="","",IF(E408&lt;&gt;"","Paid",IF(TODAY()-B408&gt;'My business'!$B$16,"OVERDUE","Awaiting")))</f>
        <v/>
      </c>
    </row>
    <row r="409">
      <c r="A409" s="2" t="n"/>
      <c r="B409" s="5" t="n"/>
      <c r="C409" s="2" t="n"/>
      <c r="D409" s="15" t="n"/>
      <c r="E409" s="5" t="n"/>
      <c r="F409">
        <f>IF(OR(B409="",E409=""),"",E409-B409)</f>
        <v/>
      </c>
      <c r="G409">
        <f>IF(B409="","",IF(E409&lt;&gt;"","Paid",IF(TODAY()-B409&gt;'My business'!$B$16,"OVERDUE","Awaiting")))</f>
        <v/>
      </c>
    </row>
    <row r="410">
      <c r="A410" s="2" t="n"/>
      <c r="B410" s="5" t="n"/>
      <c r="C410" s="2" t="n"/>
      <c r="D410" s="15" t="n"/>
      <c r="E410" s="5" t="n"/>
      <c r="F410">
        <f>IF(OR(B410="",E410=""),"",E410-B410)</f>
        <v/>
      </c>
      <c r="G410">
        <f>IF(B410="","",IF(E410&lt;&gt;"","Paid",IF(TODAY()-B410&gt;'My business'!$B$16,"OVERDUE","Awaiting")))</f>
        <v/>
      </c>
    </row>
    <row r="411">
      <c r="A411" s="2" t="n"/>
      <c r="B411" s="5" t="n"/>
      <c r="C411" s="2" t="n"/>
      <c r="D411" s="15" t="n"/>
      <c r="E411" s="5" t="n"/>
      <c r="F411">
        <f>IF(OR(B411="",E411=""),"",E411-B411)</f>
        <v/>
      </c>
      <c r="G411">
        <f>IF(B411="","",IF(E411&lt;&gt;"","Paid",IF(TODAY()-B411&gt;'My business'!$B$16,"OVERDUE","Awaiting")))</f>
        <v/>
      </c>
    </row>
    <row r="412">
      <c r="A412" s="2" t="n"/>
      <c r="B412" s="5" t="n"/>
      <c r="C412" s="2" t="n"/>
      <c r="D412" s="15" t="n"/>
      <c r="E412" s="5" t="n"/>
      <c r="F412">
        <f>IF(OR(B412="",E412=""),"",E412-B412)</f>
        <v/>
      </c>
      <c r="G412">
        <f>IF(B412="","",IF(E412&lt;&gt;"","Paid",IF(TODAY()-B412&gt;'My business'!$B$16,"OVERDUE","Awaiting")))</f>
        <v/>
      </c>
    </row>
    <row r="413">
      <c r="A413" s="2" t="n"/>
      <c r="B413" s="5" t="n"/>
      <c r="C413" s="2" t="n"/>
      <c r="D413" s="15" t="n"/>
      <c r="E413" s="5" t="n"/>
      <c r="F413">
        <f>IF(OR(B413="",E413=""),"",E413-B413)</f>
        <v/>
      </c>
      <c r="G413">
        <f>IF(B413="","",IF(E413&lt;&gt;"","Paid",IF(TODAY()-B413&gt;'My business'!$B$16,"OVERDUE","Awaiting")))</f>
        <v/>
      </c>
    </row>
    <row r="414">
      <c r="A414" s="2" t="n"/>
      <c r="B414" s="5" t="n"/>
      <c r="C414" s="2" t="n"/>
      <c r="D414" s="15" t="n"/>
      <c r="E414" s="5" t="n"/>
      <c r="F414">
        <f>IF(OR(B414="",E414=""),"",E414-B414)</f>
        <v/>
      </c>
      <c r="G414">
        <f>IF(B414="","",IF(E414&lt;&gt;"","Paid",IF(TODAY()-B414&gt;'My business'!$B$16,"OVERDUE","Awaiting")))</f>
        <v/>
      </c>
    </row>
    <row r="415">
      <c r="A415" s="2" t="n"/>
      <c r="B415" s="5" t="n"/>
      <c r="C415" s="2" t="n"/>
      <c r="D415" s="15" t="n"/>
      <c r="E415" s="5" t="n"/>
      <c r="F415">
        <f>IF(OR(B415="",E415=""),"",E415-B415)</f>
        <v/>
      </c>
      <c r="G415">
        <f>IF(B415="","",IF(E415&lt;&gt;"","Paid",IF(TODAY()-B415&gt;'My business'!$B$16,"OVERDUE","Awaiting")))</f>
        <v/>
      </c>
    </row>
    <row r="416">
      <c r="A416" s="2" t="n"/>
      <c r="B416" s="5" t="n"/>
      <c r="C416" s="2" t="n"/>
      <c r="D416" s="15" t="n"/>
      <c r="E416" s="5" t="n"/>
      <c r="F416">
        <f>IF(OR(B416="",E416=""),"",E416-B416)</f>
        <v/>
      </c>
      <c r="G416">
        <f>IF(B416="","",IF(E416&lt;&gt;"","Paid",IF(TODAY()-B416&gt;'My business'!$B$16,"OVERDUE","Awaiting")))</f>
        <v/>
      </c>
    </row>
    <row r="417">
      <c r="A417" s="2" t="n"/>
      <c r="B417" s="5" t="n"/>
      <c r="C417" s="2" t="n"/>
      <c r="D417" s="15" t="n"/>
      <c r="E417" s="5" t="n"/>
      <c r="F417">
        <f>IF(OR(B417="",E417=""),"",E417-B417)</f>
        <v/>
      </c>
      <c r="G417">
        <f>IF(B417="","",IF(E417&lt;&gt;"","Paid",IF(TODAY()-B417&gt;'My business'!$B$16,"OVERDUE","Awaiting")))</f>
        <v/>
      </c>
    </row>
    <row r="418">
      <c r="A418" s="2" t="n"/>
      <c r="B418" s="5" t="n"/>
      <c r="C418" s="2" t="n"/>
      <c r="D418" s="15" t="n"/>
      <c r="E418" s="5" t="n"/>
      <c r="F418">
        <f>IF(OR(B418="",E418=""),"",E418-B418)</f>
        <v/>
      </c>
      <c r="G418">
        <f>IF(B418="","",IF(E418&lt;&gt;"","Paid",IF(TODAY()-B418&gt;'My business'!$B$16,"OVERDUE","Awaiting")))</f>
        <v/>
      </c>
    </row>
    <row r="419">
      <c r="A419" s="2" t="n"/>
      <c r="B419" s="5" t="n"/>
      <c r="C419" s="2" t="n"/>
      <c r="D419" s="15" t="n"/>
      <c r="E419" s="5" t="n"/>
      <c r="F419">
        <f>IF(OR(B419="",E419=""),"",E419-B419)</f>
        <v/>
      </c>
      <c r="G419">
        <f>IF(B419="","",IF(E419&lt;&gt;"","Paid",IF(TODAY()-B419&gt;'My business'!$B$16,"OVERDUE","Awaiting")))</f>
        <v/>
      </c>
    </row>
    <row r="420">
      <c r="A420" s="2" t="n"/>
      <c r="B420" s="5" t="n"/>
      <c r="C420" s="2" t="n"/>
      <c r="D420" s="15" t="n"/>
      <c r="E420" s="5" t="n"/>
      <c r="F420">
        <f>IF(OR(B420="",E420=""),"",E420-B420)</f>
        <v/>
      </c>
      <c r="G420">
        <f>IF(B420="","",IF(E420&lt;&gt;"","Paid",IF(TODAY()-B420&gt;'My business'!$B$16,"OVERDUE","Awaiting")))</f>
        <v/>
      </c>
    </row>
    <row r="421">
      <c r="A421" s="2" t="n"/>
      <c r="B421" s="5" t="n"/>
      <c r="C421" s="2" t="n"/>
      <c r="D421" s="15" t="n"/>
      <c r="E421" s="5" t="n"/>
      <c r="F421">
        <f>IF(OR(B421="",E421=""),"",E421-B421)</f>
        <v/>
      </c>
      <c r="G421">
        <f>IF(B421="","",IF(E421&lt;&gt;"","Paid",IF(TODAY()-B421&gt;'My business'!$B$16,"OVERDUE","Awaiting")))</f>
        <v/>
      </c>
    </row>
    <row r="422">
      <c r="A422" s="2" t="n"/>
      <c r="B422" s="5" t="n"/>
      <c r="C422" s="2" t="n"/>
      <c r="D422" s="15" t="n"/>
      <c r="E422" s="5" t="n"/>
      <c r="F422">
        <f>IF(OR(B422="",E422=""),"",E422-B422)</f>
        <v/>
      </c>
      <c r="G422">
        <f>IF(B422="","",IF(E422&lt;&gt;"","Paid",IF(TODAY()-B422&gt;'My business'!$B$16,"OVERDUE","Awaiting")))</f>
        <v/>
      </c>
    </row>
    <row r="423">
      <c r="A423" s="2" t="n"/>
      <c r="B423" s="5" t="n"/>
      <c r="C423" s="2" t="n"/>
      <c r="D423" s="15" t="n"/>
      <c r="E423" s="5" t="n"/>
      <c r="F423">
        <f>IF(OR(B423="",E423=""),"",E423-B423)</f>
        <v/>
      </c>
      <c r="G423">
        <f>IF(B423="","",IF(E423&lt;&gt;"","Paid",IF(TODAY()-B423&gt;'My business'!$B$16,"OVERDUE","Awaiting")))</f>
        <v/>
      </c>
    </row>
    <row r="424">
      <c r="A424" s="2" t="n"/>
      <c r="B424" s="5" t="n"/>
      <c r="C424" s="2" t="n"/>
      <c r="D424" s="15" t="n"/>
      <c r="E424" s="5" t="n"/>
      <c r="F424">
        <f>IF(OR(B424="",E424=""),"",E424-B424)</f>
        <v/>
      </c>
      <c r="G424">
        <f>IF(B424="","",IF(E424&lt;&gt;"","Paid",IF(TODAY()-B424&gt;'My business'!$B$16,"OVERDUE","Awaiting")))</f>
        <v/>
      </c>
    </row>
    <row r="425">
      <c r="A425" s="2" t="n"/>
      <c r="B425" s="5" t="n"/>
      <c r="C425" s="2" t="n"/>
      <c r="D425" s="15" t="n"/>
      <c r="E425" s="5" t="n"/>
      <c r="F425">
        <f>IF(OR(B425="",E425=""),"",E425-B425)</f>
        <v/>
      </c>
      <c r="G425">
        <f>IF(B425="","",IF(E425&lt;&gt;"","Paid",IF(TODAY()-B425&gt;'My business'!$B$16,"OVERDUE","Awaiting")))</f>
        <v/>
      </c>
    </row>
    <row r="426">
      <c r="A426" s="2" t="n"/>
      <c r="B426" s="5" t="n"/>
      <c r="C426" s="2" t="n"/>
      <c r="D426" s="15" t="n"/>
      <c r="E426" s="5" t="n"/>
      <c r="F426">
        <f>IF(OR(B426="",E426=""),"",E426-B426)</f>
        <v/>
      </c>
      <c r="G426">
        <f>IF(B426="","",IF(E426&lt;&gt;"","Paid",IF(TODAY()-B426&gt;'My business'!$B$16,"OVERDUE","Awaiting")))</f>
        <v/>
      </c>
    </row>
    <row r="427">
      <c r="A427" s="2" t="n"/>
      <c r="B427" s="5" t="n"/>
      <c r="C427" s="2" t="n"/>
      <c r="D427" s="15" t="n"/>
      <c r="E427" s="5" t="n"/>
      <c r="F427">
        <f>IF(OR(B427="",E427=""),"",E427-B427)</f>
        <v/>
      </c>
      <c r="G427">
        <f>IF(B427="","",IF(E427&lt;&gt;"","Paid",IF(TODAY()-B427&gt;'My business'!$B$16,"OVERDUE","Awaiting")))</f>
        <v/>
      </c>
    </row>
    <row r="428">
      <c r="A428" s="2" t="n"/>
      <c r="B428" s="5" t="n"/>
      <c r="C428" s="2" t="n"/>
      <c r="D428" s="15" t="n"/>
      <c r="E428" s="5" t="n"/>
      <c r="F428">
        <f>IF(OR(B428="",E428=""),"",E428-B428)</f>
        <v/>
      </c>
      <c r="G428">
        <f>IF(B428="","",IF(E428&lt;&gt;"","Paid",IF(TODAY()-B428&gt;'My business'!$B$16,"OVERDUE","Awaiting")))</f>
        <v/>
      </c>
    </row>
    <row r="429">
      <c r="A429" s="2" t="n"/>
      <c r="B429" s="5" t="n"/>
      <c r="C429" s="2" t="n"/>
      <c r="D429" s="15" t="n"/>
      <c r="E429" s="5" t="n"/>
      <c r="F429">
        <f>IF(OR(B429="",E429=""),"",E429-B429)</f>
        <v/>
      </c>
      <c r="G429">
        <f>IF(B429="","",IF(E429&lt;&gt;"","Paid",IF(TODAY()-B429&gt;'My business'!$B$16,"OVERDUE","Awaiting")))</f>
        <v/>
      </c>
    </row>
    <row r="430">
      <c r="A430" s="2" t="n"/>
      <c r="B430" s="5" t="n"/>
      <c r="C430" s="2" t="n"/>
      <c r="D430" s="15" t="n"/>
      <c r="E430" s="5" t="n"/>
      <c r="F430">
        <f>IF(OR(B430="",E430=""),"",E430-B430)</f>
        <v/>
      </c>
      <c r="G430">
        <f>IF(B430="","",IF(E430&lt;&gt;"","Paid",IF(TODAY()-B430&gt;'My business'!$B$16,"OVERDUE","Awaiting")))</f>
        <v/>
      </c>
    </row>
    <row r="431">
      <c r="A431" s="2" t="n"/>
      <c r="B431" s="5" t="n"/>
      <c r="C431" s="2" t="n"/>
      <c r="D431" s="15" t="n"/>
      <c r="E431" s="5" t="n"/>
      <c r="F431">
        <f>IF(OR(B431="",E431=""),"",E431-B431)</f>
        <v/>
      </c>
      <c r="G431">
        <f>IF(B431="","",IF(E431&lt;&gt;"","Paid",IF(TODAY()-B431&gt;'My business'!$B$16,"OVERDUE","Awaiting")))</f>
        <v/>
      </c>
    </row>
    <row r="432">
      <c r="A432" s="2" t="n"/>
      <c r="B432" s="5" t="n"/>
      <c r="C432" s="2" t="n"/>
      <c r="D432" s="15" t="n"/>
      <c r="E432" s="5" t="n"/>
      <c r="F432">
        <f>IF(OR(B432="",E432=""),"",E432-B432)</f>
        <v/>
      </c>
      <c r="G432">
        <f>IF(B432="","",IF(E432&lt;&gt;"","Paid",IF(TODAY()-B432&gt;'My business'!$B$16,"OVERDUE","Awaiting")))</f>
        <v/>
      </c>
    </row>
    <row r="433">
      <c r="A433" s="2" t="n"/>
      <c r="B433" s="5" t="n"/>
      <c r="C433" s="2" t="n"/>
      <c r="D433" s="15" t="n"/>
      <c r="E433" s="5" t="n"/>
      <c r="F433">
        <f>IF(OR(B433="",E433=""),"",E433-B433)</f>
        <v/>
      </c>
      <c r="G433">
        <f>IF(B433="","",IF(E433&lt;&gt;"","Paid",IF(TODAY()-B433&gt;'My business'!$B$16,"OVERDUE","Awaiting")))</f>
        <v/>
      </c>
    </row>
    <row r="434">
      <c r="A434" s="2" t="n"/>
      <c r="B434" s="5" t="n"/>
      <c r="C434" s="2" t="n"/>
      <c r="D434" s="15" t="n"/>
      <c r="E434" s="5" t="n"/>
      <c r="F434">
        <f>IF(OR(B434="",E434=""),"",E434-B434)</f>
        <v/>
      </c>
      <c r="G434">
        <f>IF(B434="","",IF(E434&lt;&gt;"","Paid",IF(TODAY()-B434&gt;'My business'!$B$16,"OVERDUE","Awaiting")))</f>
        <v/>
      </c>
    </row>
    <row r="435">
      <c r="A435" s="2" t="n"/>
      <c r="B435" s="5" t="n"/>
      <c r="C435" s="2" t="n"/>
      <c r="D435" s="15" t="n"/>
      <c r="E435" s="5" t="n"/>
      <c r="F435">
        <f>IF(OR(B435="",E435=""),"",E435-B435)</f>
        <v/>
      </c>
      <c r="G435">
        <f>IF(B435="","",IF(E435&lt;&gt;"","Paid",IF(TODAY()-B435&gt;'My business'!$B$16,"OVERDUE","Awaiting")))</f>
        <v/>
      </c>
    </row>
    <row r="436">
      <c r="A436" s="2" t="n"/>
      <c r="B436" s="5" t="n"/>
      <c r="C436" s="2" t="n"/>
      <c r="D436" s="15" t="n"/>
      <c r="E436" s="5" t="n"/>
      <c r="F436">
        <f>IF(OR(B436="",E436=""),"",E436-B436)</f>
        <v/>
      </c>
      <c r="G436">
        <f>IF(B436="","",IF(E436&lt;&gt;"","Paid",IF(TODAY()-B436&gt;'My business'!$B$16,"OVERDUE","Awaiting")))</f>
        <v/>
      </c>
    </row>
    <row r="437">
      <c r="A437" s="2" t="n"/>
      <c r="B437" s="5" t="n"/>
      <c r="C437" s="2" t="n"/>
      <c r="D437" s="15" t="n"/>
      <c r="E437" s="5" t="n"/>
      <c r="F437">
        <f>IF(OR(B437="",E437=""),"",E437-B437)</f>
        <v/>
      </c>
      <c r="G437">
        <f>IF(B437="","",IF(E437&lt;&gt;"","Paid",IF(TODAY()-B437&gt;'My business'!$B$16,"OVERDUE","Awaiting")))</f>
        <v/>
      </c>
    </row>
    <row r="438">
      <c r="A438" s="2" t="n"/>
      <c r="B438" s="5" t="n"/>
      <c r="C438" s="2" t="n"/>
      <c r="D438" s="15" t="n"/>
      <c r="E438" s="5" t="n"/>
      <c r="F438">
        <f>IF(OR(B438="",E438=""),"",E438-B438)</f>
        <v/>
      </c>
      <c r="G438">
        <f>IF(B438="","",IF(E438&lt;&gt;"","Paid",IF(TODAY()-B438&gt;'My business'!$B$16,"OVERDUE","Awaiting")))</f>
        <v/>
      </c>
    </row>
    <row r="439">
      <c r="A439" s="2" t="n"/>
      <c r="B439" s="5" t="n"/>
      <c r="C439" s="2" t="n"/>
      <c r="D439" s="15" t="n"/>
      <c r="E439" s="5" t="n"/>
      <c r="F439">
        <f>IF(OR(B439="",E439=""),"",E439-B439)</f>
        <v/>
      </c>
      <c r="G439">
        <f>IF(B439="","",IF(E439&lt;&gt;"","Paid",IF(TODAY()-B439&gt;'My business'!$B$16,"OVERDUE","Awaiting")))</f>
        <v/>
      </c>
    </row>
    <row r="440">
      <c r="A440" s="2" t="n"/>
      <c r="B440" s="5" t="n"/>
      <c r="C440" s="2" t="n"/>
      <c r="D440" s="15" t="n"/>
      <c r="E440" s="5" t="n"/>
      <c r="F440">
        <f>IF(OR(B440="",E440=""),"",E440-B440)</f>
        <v/>
      </c>
      <c r="G440">
        <f>IF(B440="","",IF(E440&lt;&gt;"","Paid",IF(TODAY()-B440&gt;'My business'!$B$16,"OVERDUE","Awaiting")))</f>
        <v/>
      </c>
    </row>
    <row r="441">
      <c r="A441" s="2" t="n"/>
      <c r="B441" s="5" t="n"/>
      <c r="C441" s="2" t="n"/>
      <c r="D441" s="15" t="n"/>
      <c r="E441" s="5" t="n"/>
      <c r="F441">
        <f>IF(OR(B441="",E441=""),"",E441-B441)</f>
        <v/>
      </c>
      <c r="G441">
        <f>IF(B441="","",IF(E441&lt;&gt;"","Paid",IF(TODAY()-B441&gt;'My business'!$B$16,"OVERDUE","Awaiting")))</f>
        <v/>
      </c>
    </row>
    <row r="442">
      <c r="A442" s="2" t="n"/>
      <c r="B442" s="5" t="n"/>
      <c r="C442" s="2" t="n"/>
      <c r="D442" s="15" t="n"/>
      <c r="E442" s="5" t="n"/>
      <c r="F442">
        <f>IF(OR(B442="",E442=""),"",E442-B442)</f>
        <v/>
      </c>
      <c r="G442">
        <f>IF(B442="","",IF(E442&lt;&gt;"","Paid",IF(TODAY()-B442&gt;'My business'!$B$16,"OVERDUE","Awaiting")))</f>
        <v/>
      </c>
    </row>
    <row r="443">
      <c r="A443" s="2" t="n"/>
      <c r="B443" s="5" t="n"/>
      <c r="C443" s="2" t="n"/>
      <c r="D443" s="15" t="n"/>
      <c r="E443" s="5" t="n"/>
      <c r="F443">
        <f>IF(OR(B443="",E443=""),"",E443-B443)</f>
        <v/>
      </c>
      <c r="G443">
        <f>IF(B443="","",IF(E443&lt;&gt;"","Paid",IF(TODAY()-B443&gt;'My business'!$B$16,"OVERDUE","Awaiting")))</f>
        <v/>
      </c>
    </row>
    <row r="444">
      <c r="A444" s="2" t="n"/>
      <c r="B444" s="5" t="n"/>
      <c r="C444" s="2" t="n"/>
      <c r="D444" s="15" t="n"/>
      <c r="E444" s="5" t="n"/>
      <c r="F444">
        <f>IF(OR(B444="",E444=""),"",E444-B444)</f>
        <v/>
      </c>
      <c r="G444">
        <f>IF(B444="","",IF(E444&lt;&gt;"","Paid",IF(TODAY()-B444&gt;'My business'!$B$16,"OVERDUE","Awaiting")))</f>
        <v/>
      </c>
    </row>
    <row r="445">
      <c r="A445" s="2" t="n"/>
      <c r="B445" s="5" t="n"/>
      <c r="C445" s="2" t="n"/>
      <c r="D445" s="15" t="n"/>
      <c r="E445" s="5" t="n"/>
      <c r="F445">
        <f>IF(OR(B445="",E445=""),"",E445-B445)</f>
        <v/>
      </c>
      <c r="G445">
        <f>IF(B445="","",IF(E445&lt;&gt;"","Paid",IF(TODAY()-B445&gt;'My business'!$B$16,"OVERDUE","Awaiting")))</f>
        <v/>
      </c>
    </row>
    <row r="446">
      <c r="A446" s="2" t="n"/>
      <c r="B446" s="5" t="n"/>
      <c r="C446" s="2" t="n"/>
      <c r="D446" s="15" t="n"/>
      <c r="E446" s="5" t="n"/>
      <c r="F446">
        <f>IF(OR(B446="",E446=""),"",E446-B446)</f>
        <v/>
      </c>
      <c r="G446">
        <f>IF(B446="","",IF(E446&lt;&gt;"","Paid",IF(TODAY()-B446&gt;'My business'!$B$16,"OVERDUE","Awaiting")))</f>
        <v/>
      </c>
    </row>
    <row r="447">
      <c r="A447" s="2" t="n"/>
      <c r="B447" s="5" t="n"/>
      <c r="C447" s="2" t="n"/>
      <c r="D447" s="15" t="n"/>
      <c r="E447" s="5" t="n"/>
      <c r="F447">
        <f>IF(OR(B447="",E447=""),"",E447-B447)</f>
        <v/>
      </c>
      <c r="G447">
        <f>IF(B447="","",IF(E447&lt;&gt;"","Paid",IF(TODAY()-B447&gt;'My business'!$B$16,"OVERDUE","Awaiting")))</f>
        <v/>
      </c>
    </row>
    <row r="448">
      <c r="A448" s="2" t="n"/>
      <c r="B448" s="5" t="n"/>
      <c r="C448" s="2" t="n"/>
      <c r="D448" s="15" t="n"/>
      <c r="E448" s="5" t="n"/>
      <c r="F448">
        <f>IF(OR(B448="",E448=""),"",E448-B448)</f>
        <v/>
      </c>
      <c r="G448">
        <f>IF(B448="","",IF(E448&lt;&gt;"","Paid",IF(TODAY()-B448&gt;'My business'!$B$16,"OVERDUE","Awaiting")))</f>
        <v/>
      </c>
    </row>
    <row r="449">
      <c r="A449" s="2" t="n"/>
      <c r="B449" s="5" t="n"/>
      <c r="C449" s="2" t="n"/>
      <c r="D449" s="15" t="n"/>
      <c r="E449" s="5" t="n"/>
      <c r="F449">
        <f>IF(OR(B449="",E449=""),"",E449-B449)</f>
        <v/>
      </c>
      <c r="G449">
        <f>IF(B449="","",IF(E449&lt;&gt;"","Paid",IF(TODAY()-B449&gt;'My business'!$B$16,"OVERDUE","Awaiting")))</f>
        <v/>
      </c>
    </row>
    <row r="450">
      <c r="A450" s="2" t="n"/>
      <c r="B450" s="5" t="n"/>
      <c r="C450" s="2" t="n"/>
      <c r="D450" s="15" t="n"/>
      <c r="E450" s="5" t="n"/>
      <c r="F450">
        <f>IF(OR(B450="",E450=""),"",E450-B450)</f>
        <v/>
      </c>
      <c r="G450">
        <f>IF(B450="","",IF(E450&lt;&gt;"","Paid",IF(TODAY()-B450&gt;'My business'!$B$16,"OVERDUE","Awaiting")))</f>
        <v/>
      </c>
    </row>
    <row r="451">
      <c r="A451" s="2" t="n"/>
      <c r="B451" s="5" t="n"/>
      <c r="C451" s="2" t="n"/>
      <c r="D451" s="15" t="n"/>
      <c r="E451" s="5" t="n"/>
      <c r="F451">
        <f>IF(OR(B451="",E451=""),"",E451-B451)</f>
        <v/>
      </c>
      <c r="G451">
        <f>IF(B451="","",IF(E451&lt;&gt;"","Paid",IF(TODAY()-B451&gt;'My business'!$B$16,"OVERDUE","Awaiting")))</f>
        <v/>
      </c>
    </row>
    <row r="452">
      <c r="A452" s="2" t="n"/>
      <c r="B452" s="5" t="n"/>
      <c r="C452" s="2" t="n"/>
      <c r="D452" s="15" t="n"/>
      <c r="E452" s="5" t="n"/>
      <c r="F452">
        <f>IF(OR(B452="",E452=""),"",E452-B452)</f>
        <v/>
      </c>
      <c r="G452">
        <f>IF(B452="","",IF(E452&lt;&gt;"","Paid",IF(TODAY()-B452&gt;'My business'!$B$16,"OVERDUE","Awaiting")))</f>
        <v/>
      </c>
    </row>
    <row r="453">
      <c r="A453" s="2" t="n"/>
      <c r="B453" s="5" t="n"/>
      <c r="C453" s="2" t="n"/>
      <c r="D453" s="15" t="n"/>
      <c r="E453" s="5" t="n"/>
      <c r="F453">
        <f>IF(OR(B453="",E453=""),"",E453-B453)</f>
        <v/>
      </c>
      <c r="G453">
        <f>IF(B453="","",IF(E453&lt;&gt;"","Paid",IF(TODAY()-B453&gt;'My business'!$B$16,"OVERDUE","Awaiting")))</f>
        <v/>
      </c>
    </row>
    <row r="454">
      <c r="A454" s="2" t="n"/>
      <c r="B454" s="5" t="n"/>
      <c r="C454" s="2" t="n"/>
      <c r="D454" s="15" t="n"/>
      <c r="E454" s="5" t="n"/>
      <c r="F454">
        <f>IF(OR(B454="",E454=""),"",E454-B454)</f>
        <v/>
      </c>
      <c r="G454">
        <f>IF(B454="","",IF(E454&lt;&gt;"","Paid",IF(TODAY()-B454&gt;'My business'!$B$16,"OVERDUE","Awaiting")))</f>
        <v/>
      </c>
    </row>
    <row r="455">
      <c r="A455" s="2" t="n"/>
      <c r="B455" s="5" t="n"/>
      <c r="C455" s="2" t="n"/>
      <c r="D455" s="15" t="n"/>
      <c r="E455" s="5" t="n"/>
      <c r="F455">
        <f>IF(OR(B455="",E455=""),"",E455-B455)</f>
        <v/>
      </c>
      <c r="G455">
        <f>IF(B455="","",IF(E455&lt;&gt;"","Paid",IF(TODAY()-B455&gt;'My business'!$B$16,"OVERDUE","Awaiting")))</f>
        <v/>
      </c>
    </row>
    <row r="456">
      <c r="A456" s="2" t="n"/>
      <c r="B456" s="5" t="n"/>
      <c r="C456" s="2" t="n"/>
      <c r="D456" s="15" t="n"/>
      <c r="E456" s="5" t="n"/>
      <c r="F456">
        <f>IF(OR(B456="",E456=""),"",E456-B456)</f>
        <v/>
      </c>
      <c r="G456">
        <f>IF(B456="","",IF(E456&lt;&gt;"","Paid",IF(TODAY()-B456&gt;'My business'!$B$16,"OVERDUE","Awaiting")))</f>
        <v/>
      </c>
    </row>
    <row r="457">
      <c r="A457" s="2" t="n"/>
      <c r="B457" s="5" t="n"/>
      <c r="C457" s="2" t="n"/>
      <c r="D457" s="15" t="n"/>
      <c r="E457" s="5" t="n"/>
      <c r="F457">
        <f>IF(OR(B457="",E457=""),"",E457-B457)</f>
        <v/>
      </c>
      <c r="G457">
        <f>IF(B457="","",IF(E457&lt;&gt;"","Paid",IF(TODAY()-B457&gt;'My business'!$B$16,"OVERDUE","Awaiting")))</f>
        <v/>
      </c>
    </row>
    <row r="458">
      <c r="A458" s="2" t="n"/>
      <c r="B458" s="5" t="n"/>
      <c r="C458" s="2" t="n"/>
      <c r="D458" s="15" t="n"/>
      <c r="E458" s="5" t="n"/>
      <c r="F458">
        <f>IF(OR(B458="",E458=""),"",E458-B458)</f>
        <v/>
      </c>
      <c r="G458">
        <f>IF(B458="","",IF(E458&lt;&gt;"","Paid",IF(TODAY()-B458&gt;'My business'!$B$16,"OVERDUE","Awaiting")))</f>
        <v/>
      </c>
    </row>
    <row r="459">
      <c r="A459" s="2" t="n"/>
      <c r="B459" s="5" t="n"/>
      <c r="C459" s="2" t="n"/>
      <c r="D459" s="15" t="n"/>
      <c r="E459" s="5" t="n"/>
      <c r="F459">
        <f>IF(OR(B459="",E459=""),"",E459-B459)</f>
        <v/>
      </c>
      <c r="G459">
        <f>IF(B459="","",IF(E459&lt;&gt;"","Paid",IF(TODAY()-B459&gt;'My business'!$B$16,"OVERDUE","Awaiting")))</f>
        <v/>
      </c>
    </row>
    <row r="460">
      <c r="A460" s="2" t="n"/>
      <c r="B460" s="5" t="n"/>
      <c r="C460" s="2" t="n"/>
      <c r="D460" s="15" t="n"/>
      <c r="E460" s="5" t="n"/>
      <c r="F460">
        <f>IF(OR(B460="",E460=""),"",E460-B460)</f>
        <v/>
      </c>
      <c r="G460">
        <f>IF(B460="","",IF(E460&lt;&gt;"","Paid",IF(TODAY()-B460&gt;'My business'!$B$16,"OVERDUE","Awaiting")))</f>
        <v/>
      </c>
    </row>
    <row r="461">
      <c r="A461" s="2" t="n"/>
      <c r="B461" s="5" t="n"/>
      <c r="C461" s="2" t="n"/>
      <c r="D461" s="15" t="n"/>
      <c r="E461" s="5" t="n"/>
      <c r="F461">
        <f>IF(OR(B461="",E461=""),"",E461-B461)</f>
        <v/>
      </c>
      <c r="G461">
        <f>IF(B461="","",IF(E461&lt;&gt;"","Paid",IF(TODAY()-B461&gt;'My business'!$B$16,"OVERDUE","Awaiting")))</f>
        <v/>
      </c>
    </row>
    <row r="462">
      <c r="A462" s="2" t="n"/>
      <c r="B462" s="5" t="n"/>
      <c r="C462" s="2" t="n"/>
      <c r="D462" s="15" t="n"/>
      <c r="E462" s="5" t="n"/>
      <c r="F462">
        <f>IF(OR(B462="",E462=""),"",E462-B462)</f>
        <v/>
      </c>
      <c r="G462">
        <f>IF(B462="","",IF(E462&lt;&gt;"","Paid",IF(TODAY()-B462&gt;'My business'!$B$16,"OVERDUE","Awaiting")))</f>
        <v/>
      </c>
    </row>
    <row r="463">
      <c r="A463" s="2" t="n"/>
      <c r="B463" s="5" t="n"/>
      <c r="C463" s="2" t="n"/>
      <c r="D463" s="15" t="n"/>
      <c r="E463" s="5" t="n"/>
      <c r="F463">
        <f>IF(OR(B463="",E463=""),"",E463-B463)</f>
        <v/>
      </c>
      <c r="G463">
        <f>IF(B463="","",IF(E463&lt;&gt;"","Paid",IF(TODAY()-B463&gt;'My business'!$B$16,"OVERDUE","Awaiting")))</f>
        <v/>
      </c>
    </row>
    <row r="464">
      <c r="A464" s="2" t="n"/>
      <c r="B464" s="5" t="n"/>
      <c r="C464" s="2" t="n"/>
      <c r="D464" s="15" t="n"/>
      <c r="E464" s="5" t="n"/>
      <c r="F464">
        <f>IF(OR(B464="",E464=""),"",E464-B464)</f>
        <v/>
      </c>
      <c r="G464">
        <f>IF(B464="","",IF(E464&lt;&gt;"","Paid",IF(TODAY()-B464&gt;'My business'!$B$16,"OVERDUE","Awaiting")))</f>
        <v/>
      </c>
    </row>
    <row r="465">
      <c r="A465" s="2" t="n"/>
      <c r="B465" s="5" t="n"/>
      <c r="C465" s="2" t="n"/>
      <c r="D465" s="15" t="n"/>
      <c r="E465" s="5" t="n"/>
      <c r="F465">
        <f>IF(OR(B465="",E465=""),"",E465-B465)</f>
        <v/>
      </c>
      <c r="G465">
        <f>IF(B465="","",IF(E465&lt;&gt;"","Paid",IF(TODAY()-B465&gt;'My business'!$B$16,"OVERDUE","Awaiting")))</f>
        <v/>
      </c>
    </row>
    <row r="466">
      <c r="A466" s="2" t="n"/>
      <c r="B466" s="5" t="n"/>
      <c r="C466" s="2" t="n"/>
      <c r="D466" s="15" t="n"/>
      <c r="E466" s="5" t="n"/>
      <c r="F466">
        <f>IF(OR(B466="",E466=""),"",E466-B466)</f>
        <v/>
      </c>
      <c r="G466">
        <f>IF(B466="","",IF(E466&lt;&gt;"","Paid",IF(TODAY()-B466&gt;'My business'!$B$16,"OVERDUE","Awaiting")))</f>
        <v/>
      </c>
    </row>
    <row r="467">
      <c r="A467" s="2" t="n"/>
      <c r="B467" s="5" t="n"/>
      <c r="C467" s="2" t="n"/>
      <c r="D467" s="15" t="n"/>
      <c r="E467" s="5" t="n"/>
      <c r="F467">
        <f>IF(OR(B467="",E467=""),"",E467-B467)</f>
        <v/>
      </c>
      <c r="G467">
        <f>IF(B467="","",IF(E467&lt;&gt;"","Paid",IF(TODAY()-B467&gt;'My business'!$B$16,"OVERDUE","Awaiting")))</f>
        <v/>
      </c>
    </row>
    <row r="468">
      <c r="A468" s="2" t="n"/>
      <c r="B468" s="5" t="n"/>
      <c r="C468" s="2" t="n"/>
      <c r="D468" s="15" t="n"/>
      <c r="E468" s="5" t="n"/>
      <c r="F468">
        <f>IF(OR(B468="",E468=""),"",E468-B468)</f>
        <v/>
      </c>
      <c r="G468">
        <f>IF(B468="","",IF(E468&lt;&gt;"","Paid",IF(TODAY()-B468&gt;'My business'!$B$16,"OVERDUE","Awaiting")))</f>
        <v/>
      </c>
    </row>
    <row r="469">
      <c r="A469" s="2" t="n"/>
      <c r="B469" s="5" t="n"/>
      <c r="C469" s="2" t="n"/>
      <c r="D469" s="15" t="n"/>
      <c r="E469" s="5" t="n"/>
      <c r="F469">
        <f>IF(OR(B469="",E469=""),"",E469-B469)</f>
        <v/>
      </c>
      <c r="G469">
        <f>IF(B469="","",IF(E469&lt;&gt;"","Paid",IF(TODAY()-B469&gt;'My business'!$B$16,"OVERDUE","Awaiting")))</f>
        <v/>
      </c>
    </row>
    <row r="470">
      <c r="A470" s="2" t="n"/>
      <c r="B470" s="5" t="n"/>
      <c r="C470" s="2" t="n"/>
      <c r="D470" s="15" t="n"/>
      <c r="E470" s="5" t="n"/>
      <c r="F470">
        <f>IF(OR(B470="",E470=""),"",E470-B470)</f>
        <v/>
      </c>
      <c r="G470">
        <f>IF(B470="","",IF(E470&lt;&gt;"","Paid",IF(TODAY()-B470&gt;'My business'!$B$16,"OVERDUE","Awaiting")))</f>
        <v/>
      </c>
    </row>
    <row r="471">
      <c r="A471" s="2" t="n"/>
      <c r="B471" s="5" t="n"/>
      <c r="C471" s="2" t="n"/>
      <c r="D471" s="15" t="n"/>
      <c r="E471" s="5" t="n"/>
      <c r="F471">
        <f>IF(OR(B471="",E471=""),"",E471-B471)</f>
        <v/>
      </c>
      <c r="G471">
        <f>IF(B471="","",IF(E471&lt;&gt;"","Paid",IF(TODAY()-B471&gt;'My business'!$B$16,"OVERDUE","Awaiting")))</f>
        <v/>
      </c>
    </row>
    <row r="472">
      <c r="A472" s="2" t="n"/>
      <c r="B472" s="5" t="n"/>
      <c r="C472" s="2" t="n"/>
      <c r="D472" s="15" t="n"/>
      <c r="E472" s="5" t="n"/>
      <c r="F472">
        <f>IF(OR(B472="",E472=""),"",E472-B472)</f>
        <v/>
      </c>
      <c r="G472">
        <f>IF(B472="","",IF(E472&lt;&gt;"","Paid",IF(TODAY()-B472&gt;'My business'!$B$16,"OVERDUE","Awaiting")))</f>
        <v/>
      </c>
    </row>
    <row r="473">
      <c r="A473" s="2" t="n"/>
      <c r="B473" s="5" t="n"/>
      <c r="C473" s="2" t="n"/>
      <c r="D473" s="15" t="n"/>
      <c r="E473" s="5" t="n"/>
      <c r="F473">
        <f>IF(OR(B473="",E473=""),"",E473-B473)</f>
        <v/>
      </c>
      <c r="G473">
        <f>IF(B473="","",IF(E473&lt;&gt;"","Paid",IF(TODAY()-B473&gt;'My business'!$B$16,"OVERDUE","Awaiting")))</f>
        <v/>
      </c>
    </row>
    <row r="474">
      <c r="A474" s="2" t="n"/>
      <c r="B474" s="5" t="n"/>
      <c r="C474" s="2" t="n"/>
      <c r="D474" s="15" t="n"/>
      <c r="E474" s="5" t="n"/>
      <c r="F474">
        <f>IF(OR(B474="",E474=""),"",E474-B474)</f>
        <v/>
      </c>
      <c r="G474">
        <f>IF(B474="","",IF(E474&lt;&gt;"","Paid",IF(TODAY()-B474&gt;'My business'!$B$16,"OVERDUE","Awaiting")))</f>
        <v/>
      </c>
    </row>
    <row r="475">
      <c r="A475" s="2" t="n"/>
      <c r="B475" s="5" t="n"/>
      <c r="C475" s="2" t="n"/>
      <c r="D475" s="15" t="n"/>
      <c r="E475" s="5" t="n"/>
      <c r="F475">
        <f>IF(OR(B475="",E475=""),"",E475-B475)</f>
        <v/>
      </c>
      <c r="G475">
        <f>IF(B475="","",IF(E475&lt;&gt;"","Paid",IF(TODAY()-B475&gt;'My business'!$B$16,"OVERDUE","Awaiting")))</f>
        <v/>
      </c>
    </row>
    <row r="476">
      <c r="A476" s="2" t="n"/>
      <c r="B476" s="5" t="n"/>
      <c r="C476" s="2" t="n"/>
      <c r="D476" s="15" t="n"/>
      <c r="E476" s="5" t="n"/>
      <c r="F476">
        <f>IF(OR(B476="",E476=""),"",E476-B476)</f>
        <v/>
      </c>
      <c r="G476">
        <f>IF(B476="","",IF(E476&lt;&gt;"","Paid",IF(TODAY()-B476&gt;'My business'!$B$16,"OVERDUE","Awaiting")))</f>
        <v/>
      </c>
    </row>
    <row r="477">
      <c r="A477" s="2" t="n"/>
      <c r="B477" s="5" t="n"/>
      <c r="C477" s="2" t="n"/>
      <c r="D477" s="15" t="n"/>
      <c r="E477" s="5" t="n"/>
      <c r="F477">
        <f>IF(OR(B477="",E477=""),"",E477-B477)</f>
        <v/>
      </c>
      <c r="G477">
        <f>IF(B477="","",IF(E477&lt;&gt;"","Paid",IF(TODAY()-B477&gt;'My business'!$B$16,"OVERDUE","Awaiting")))</f>
        <v/>
      </c>
    </row>
    <row r="478">
      <c r="A478" s="2" t="n"/>
      <c r="B478" s="5" t="n"/>
      <c r="C478" s="2" t="n"/>
      <c r="D478" s="15" t="n"/>
      <c r="E478" s="5" t="n"/>
      <c r="F478">
        <f>IF(OR(B478="",E478=""),"",E478-B478)</f>
        <v/>
      </c>
      <c r="G478">
        <f>IF(B478="","",IF(E478&lt;&gt;"","Paid",IF(TODAY()-B478&gt;'My business'!$B$16,"OVERDUE","Awaiting")))</f>
        <v/>
      </c>
    </row>
    <row r="479">
      <c r="A479" s="2" t="n"/>
      <c r="B479" s="5" t="n"/>
      <c r="C479" s="2" t="n"/>
      <c r="D479" s="15" t="n"/>
      <c r="E479" s="5" t="n"/>
      <c r="F479">
        <f>IF(OR(B479="",E479=""),"",E479-B479)</f>
        <v/>
      </c>
      <c r="G479">
        <f>IF(B479="","",IF(E479&lt;&gt;"","Paid",IF(TODAY()-B479&gt;'My business'!$B$16,"OVERDUE","Awaiting")))</f>
        <v/>
      </c>
    </row>
    <row r="480">
      <c r="A480" s="2" t="n"/>
      <c r="B480" s="5" t="n"/>
      <c r="C480" s="2" t="n"/>
      <c r="D480" s="15" t="n"/>
      <c r="E480" s="5" t="n"/>
      <c r="F480">
        <f>IF(OR(B480="",E480=""),"",E480-B480)</f>
        <v/>
      </c>
      <c r="G480">
        <f>IF(B480="","",IF(E480&lt;&gt;"","Paid",IF(TODAY()-B480&gt;'My business'!$B$16,"OVERDUE","Awaiting")))</f>
        <v/>
      </c>
    </row>
    <row r="481">
      <c r="A481" s="2" t="n"/>
      <c r="B481" s="5" t="n"/>
      <c r="C481" s="2" t="n"/>
      <c r="D481" s="15" t="n"/>
      <c r="E481" s="5" t="n"/>
      <c r="F481">
        <f>IF(OR(B481="",E481=""),"",E481-B481)</f>
        <v/>
      </c>
      <c r="G481">
        <f>IF(B481="","",IF(E481&lt;&gt;"","Paid",IF(TODAY()-B481&gt;'My business'!$B$16,"OVERDUE","Awaiting")))</f>
        <v/>
      </c>
    </row>
    <row r="482">
      <c r="A482" s="2" t="n"/>
      <c r="B482" s="5" t="n"/>
      <c r="C482" s="2" t="n"/>
      <c r="D482" s="15" t="n"/>
      <c r="E482" s="5" t="n"/>
      <c r="F482">
        <f>IF(OR(B482="",E482=""),"",E482-B482)</f>
        <v/>
      </c>
      <c r="G482">
        <f>IF(B482="","",IF(E482&lt;&gt;"","Paid",IF(TODAY()-B482&gt;'My business'!$B$16,"OVERDUE","Awaiting")))</f>
        <v/>
      </c>
    </row>
    <row r="483">
      <c r="A483" s="2" t="n"/>
      <c r="B483" s="5" t="n"/>
      <c r="C483" s="2" t="n"/>
      <c r="D483" s="15" t="n"/>
      <c r="E483" s="5" t="n"/>
      <c r="F483">
        <f>IF(OR(B483="",E483=""),"",E483-B483)</f>
        <v/>
      </c>
      <c r="G483">
        <f>IF(B483="","",IF(E483&lt;&gt;"","Paid",IF(TODAY()-B483&gt;'My business'!$B$16,"OVERDUE","Awaiting")))</f>
        <v/>
      </c>
    </row>
    <row r="484">
      <c r="A484" s="2" t="n"/>
      <c r="B484" s="5" t="n"/>
      <c r="C484" s="2" t="n"/>
      <c r="D484" s="15" t="n"/>
      <c r="E484" s="5" t="n"/>
      <c r="F484">
        <f>IF(OR(B484="",E484=""),"",E484-B484)</f>
        <v/>
      </c>
      <c r="G484">
        <f>IF(B484="","",IF(E484&lt;&gt;"","Paid",IF(TODAY()-B484&gt;'My business'!$B$16,"OVERDUE","Awaiting")))</f>
        <v/>
      </c>
    </row>
    <row r="485">
      <c r="A485" s="2" t="n"/>
      <c r="B485" s="5" t="n"/>
      <c r="C485" s="2" t="n"/>
      <c r="D485" s="15" t="n"/>
      <c r="E485" s="5" t="n"/>
      <c r="F485">
        <f>IF(OR(B485="",E485=""),"",E485-B485)</f>
        <v/>
      </c>
      <c r="G485">
        <f>IF(B485="","",IF(E485&lt;&gt;"","Paid",IF(TODAY()-B485&gt;'My business'!$B$16,"OVERDUE","Awaiting")))</f>
        <v/>
      </c>
    </row>
    <row r="486">
      <c r="A486" s="2" t="n"/>
      <c r="B486" s="5" t="n"/>
      <c r="C486" s="2" t="n"/>
      <c r="D486" s="15" t="n"/>
      <c r="E486" s="5" t="n"/>
      <c r="F486">
        <f>IF(OR(B486="",E486=""),"",E486-B486)</f>
        <v/>
      </c>
      <c r="G486">
        <f>IF(B486="","",IF(E486&lt;&gt;"","Paid",IF(TODAY()-B486&gt;'My business'!$B$16,"OVERDUE","Awaiting")))</f>
        <v/>
      </c>
    </row>
    <row r="487">
      <c r="A487" s="2" t="n"/>
      <c r="B487" s="5" t="n"/>
      <c r="C487" s="2" t="n"/>
      <c r="D487" s="15" t="n"/>
      <c r="E487" s="5" t="n"/>
      <c r="F487">
        <f>IF(OR(B487="",E487=""),"",E487-B487)</f>
        <v/>
      </c>
      <c r="G487">
        <f>IF(B487="","",IF(E487&lt;&gt;"","Paid",IF(TODAY()-B487&gt;'My business'!$B$16,"OVERDUE","Awaiting")))</f>
        <v/>
      </c>
    </row>
    <row r="488">
      <c r="A488" s="2" t="n"/>
      <c r="B488" s="5" t="n"/>
      <c r="C488" s="2" t="n"/>
      <c r="D488" s="15" t="n"/>
      <c r="E488" s="5" t="n"/>
      <c r="F488">
        <f>IF(OR(B488="",E488=""),"",E488-B488)</f>
        <v/>
      </c>
      <c r="G488">
        <f>IF(B488="","",IF(E488&lt;&gt;"","Paid",IF(TODAY()-B488&gt;'My business'!$B$16,"OVERDUE","Awaiting")))</f>
        <v/>
      </c>
    </row>
    <row r="489">
      <c r="A489" s="2" t="n"/>
      <c r="B489" s="5" t="n"/>
      <c r="C489" s="2" t="n"/>
      <c r="D489" s="15" t="n"/>
      <c r="E489" s="5" t="n"/>
      <c r="F489">
        <f>IF(OR(B489="",E489=""),"",E489-B489)</f>
        <v/>
      </c>
      <c r="G489">
        <f>IF(B489="","",IF(E489&lt;&gt;"","Paid",IF(TODAY()-B489&gt;'My business'!$B$16,"OVERDUE","Awaiting")))</f>
        <v/>
      </c>
    </row>
    <row r="490">
      <c r="A490" s="2" t="n"/>
      <c r="B490" s="5" t="n"/>
      <c r="C490" s="2" t="n"/>
      <c r="D490" s="15" t="n"/>
      <c r="E490" s="5" t="n"/>
      <c r="F490">
        <f>IF(OR(B490="",E490=""),"",E490-B490)</f>
        <v/>
      </c>
      <c r="G490">
        <f>IF(B490="","",IF(E490&lt;&gt;"","Paid",IF(TODAY()-B490&gt;'My business'!$B$16,"OVERDUE","Awaiting")))</f>
        <v/>
      </c>
    </row>
    <row r="491">
      <c r="A491" s="2" t="n"/>
      <c r="B491" s="5" t="n"/>
      <c r="C491" s="2" t="n"/>
      <c r="D491" s="15" t="n"/>
      <c r="E491" s="5" t="n"/>
      <c r="F491">
        <f>IF(OR(B491="",E491=""),"",E491-B491)</f>
        <v/>
      </c>
      <c r="G491">
        <f>IF(B491="","",IF(E491&lt;&gt;"","Paid",IF(TODAY()-B491&gt;'My business'!$B$16,"OVERDUE","Awaiting")))</f>
        <v/>
      </c>
    </row>
    <row r="492">
      <c r="A492" s="2" t="n"/>
      <c r="B492" s="5" t="n"/>
      <c r="C492" s="2" t="n"/>
      <c r="D492" s="15" t="n"/>
      <c r="E492" s="5" t="n"/>
      <c r="F492">
        <f>IF(OR(B492="",E492=""),"",E492-B492)</f>
        <v/>
      </c>
      <c r="G492">
        <f>IF(B492="","",IF(E492&lt;&gt;"","Paid",IF(TODAY()-B492&gt;'My business'!$B$16,"OVERDUE","Awaiting")))</f>
        <v/>
      </c>
    </row>
    <row r="493">
      <c r="A493" s="2" t="n"/>
      <c r="B493" s="5" t="n"/>
      <c r="C493" s="2" t="n"/>
      <c r="D493" s="15" t="n"/>
      <c r="E493" s="5" t="n"/>
      <c r="F493">
        <f>IF(OR(B493="",E493=""),"",E493-B493)</f>
        <v/>
      </c>
      <c r="G493">
        <f>IF(B493="","",IF(E493&lt;&gt;"","Paid",IF(TODAY()-B493&gt;'My business'!$B$16,"OVERDUE","Awaiting")))</f>
        <v/>
      </c>
    </row>
    <row r="494">
      <c r="A494" s="2" t="n"/>
      <c r="B494" s="5" t="n"/>
      <c r="C494" s="2" t="n"/>
      <c r="D494" s="15" t="n"/>
      <c r="E494" s="5" t="n"/>
      <c r="F494">
        <f>IF(OR(B494="",E494=""),"",E494-B494)</f>
        <v/>
      </c>
      <c r="G494">
        <f>IF(B494="","",IF(E494&lt;&gt;"","Paid",IF(TODAY()-B494&gt;'My business'!$B$16,"OVERDUE","Awaiting")))</f>
        <v/>
      </c>
    </row>
    <row r="495">
      <c r="A495" s="2" t="n"/>
      <c r="B495" s="5" t="n"/>
      <c r="C495" s="2" t="n"/>
      <c r="D495" s="15" t="n"/>
      <c r="E495" s="5" t="n"/>
      <c r="F495">
        <f>IF(OR(B495="",E495=""),"",E495-B495)</f>
        <v/>
      </c>
      <c r="G495">
        <f>IF(B495="","",IF(E495&lt;&gt;"","Paid",IF(TODAY()-B495&gt;'My business'!$B$16,"OVERDUE","Awaiting")))</f>
        <v/>
      </c>
    </row>
    <row r="496">
      <c r="A496" s="2" t="n"/>
      <c r="B496" s="5" t="n"/>
      <c r="C496" s="2" t="n"/>
      <c r="D496" s="15" t="n"/>
      <c r="E496" s="5" t="n"/>
      <c r="F496">
        <f>IF(OR(B496="",E496=""),"",E496-B496)</f>
        <v/>
      </c>
      <c r="G496">
        <f>IF(B496="","",IF(E496&lt;&gt;"","Paid",IF(TODAY()-B496&gt;'My business'!$B$16,"OVERDUE","Awaiting")))</f>
        <v/>
      </c>
    </row>
    <row r="497">
      <c r="A497" s="2" t="n"/>
      <c r="B497" s="5" t="n"/>
      <c r="C497" s="2" t="n"/>
      <c r="D497" s="15" t="n"/>
      <c r="E497" s="5" t="n"/>
      <c r="F497">
        <f>IF(OR(B497="",E497=""),"",E497-B497)</f>
        <v/>
      </c>
      <c r="G497">
        <f>IF(B497="","",IF(E497&lt;&gt;"","Paid",IF(TODAY()-B497&gt;'My business'!$B$16,"OVERDUE","Awaiting")))</f>
        <v/>
      </c>
    </row>
    <row r="498">
      <c r="A498" s="2" t="n"/>
      <c r="B498" s="5" t="n"/>
      <c r="C498" s="2" t="n"/>
      <c r="D498" s="15" t="n"/>
      <c r="E498" s="5" t="n"/>
      <c r="F498">
        <f>IF(OR(B498="",E498=""),"",E498-B498)</f>
        <v/>
      </c>
      <c r="G498">
        <f>IF(B498="","",IF(E498&lt;&gt;"","Paid",IF(TODAY()-B498&gt;'My business'!$B$16,"OVERDUE","Awaiting")))</f>
        <v/>
      </c>
    </row>
    <row r="499">
      <c r="A499" s="2" t="n"/>
      <c r="B499" s="5" t="n"/>
      <c r="C499" s="2" t="n"/>
      <c r="D499" s="15" t="n"/>
      <c r="E499" s="5" t="n"/>
      <c r="F499">
        <f>IF(OR(B499="",E499=""),"",E499-B499)</f>
        <v/>
      </c>
      <c r="G499">
        <f>IF(B499="","",IF(E499&lt;&gt;"","Paid",IF(TODAY()-B499&gt;'My business'!$B$16,"OVERDUE","Awaiting")))</f>
        <v/>
      </c>
    </row>
    <row r="500">
      <c r="A500" s="2" t="n"/>
      <c r="B500" s="5" t="n"/>
      <c r="C500" s="2" t="n"/>
      <c r="D500" s="15" t="n"/>
      <c r="E500" s="5" t="n"/>
      <c r="F500">
        <f>IF(OR(B500="",E500=""),"",E500-B500)</f>
        <v/>
      </c>
      <c r="G500">
        <f>IF(B500="","",IF(E500&lt;&gt;"","Paid",IF(TODAY()-B500&gt;'My business'!$B$16,"OVERDUE","Awaiting")))</f>
        <v/>
      </c>
    </row>
    <row r="501">
      <c r="A501" s="2" t="n"/>
      <c r="B501" s="5" t="n"/>
      <c r="C501" s="2" t="n"/>
      <c r="D501" s="15" t="n"/>
      <c r="E501" s="5" t="n"/>
      <c r="F501">
        <f>IF(OR(B501="",E501=""),"",E501-B501)</f>
        <v/>
      </c>
      <c r="G501">
        <f>IF(B501="","",IF(E501&lt;&gt;"","Paid",IF(TODAY()-B501&gt;'My business'!$B$16,"OVERDUE","Awaiting")))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4" t="inlineStr">
        <is>
          <t>1. Fill in 'My business' once. 2. Copy the Quote or Invoice sheet for each job (right-click tab → Duplicate).</t>
        </is>
      </c>
    </row>
    <row r="2">
      <c r="A2" s="14" t="inlineStr">
        <is>
          <t>3. Fill the yellow cells, then File → Print / Save as PDF and send it.</t>
        </is>
      </c>
    </row>
    <row r="3">
      <c r="A3" s="14" t="inlineStr">
        <is>
          <t>4. After sending an invoice, add it to 'Invoice log' and raise 'Next invoice number' by 1 – numbers must be unique and in sequence.</t>
        </is>
      </c>
    </row>
    <row r="4">
      <c r="A4" s="14" t="inlineStr">
        <is>
          <t>Sole traders must show their own name on invoices; limited companies must show the registered company name and number.</t>
        </is>
      </c>
    </row>
    <row r="5">
      <c r="A5" s="14" t="inlineStr">
        <is>
          <t>Only show VAT if you are VAT registered. VAT invoices must show your VAT number, the tax point and VAT per rate.</t>
        </is>
      </c>
    </row>
    <row r="6">
      <c r="A6" s="14" t="inlineStr">
        <is>
          <t>Late payment: you can claim statutory interest and compensation on overdue business-to-business invoices (gov.uk/late-commercial-payments-interest-debt-recovery).</t>
        </is>
      </c>
    </row>
    <row r="7">
      <c r="A7" s="14" t="inlineStr">
        <is>
          <t>A template to help you invoice correctly – not legal or tax advice.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2026-09-25T18:58:56Z</dcterms:created>
  <dcterms:modified xsi:type="dcterms:W3CDTF">2026-09-25T18:58:56Z</dcterms:modified>
</cp:coreProperties>
</file>